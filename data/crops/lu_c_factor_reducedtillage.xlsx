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61" documentId="8_{DE03094A-62C0-4937-830E-90DB4B2587C6}" xr6:coauthVersionLast="47" xr6:coauthVersionMax="47" xr10:uidLastSave="{30C80418-6B5C-4B41-8CB3-B6762B6B89A6}"/>
  <bookViews>
    <workbookView xWindow="-110" yWindow="-110" windowWidth="19420" windowHeight="11500" xr2:uid="{AD288E80-6FC1-4BDD-A593-FC935163544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O26" i="1"/>
  <c r="B27" i="1"/>
  <c r="B26" i="1"/>
  <c r="M27" i="1"/>
  <c r="K27" i="1"/>
  <c r="J27" i="1"/>
  <c r="I27" i="1"/>
  <c r="G27" i="1"/>
  <c r="M26" i="1"/>
  <c r="L26" i="1"/>
  <c r="K26" i="1"/>
  <c r="J26" i="1"/>
  <c r="I26" i="1"/>
  <c r="G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O25" i="1"/>
  <c r="O24" i="1"/>
  <c r="O23" i="1"/>
  <c r="O22" i="1"/>
  <c r="O21" i="1"/>
  <c r="O20" i="1"/>
  <c r="O17" i="1"/>
  <c r="O16" i="1"/>
  <c r="O13" i="1"/>
  <c r="O12" i="1"/>
  <c r="O9" i="1"/>
  <c r="O8" i="1"/>
  <c r="O5" i="1"/>
  <c r="O4" i="1"/>
  <c r="O19" i="1"/>
  <c r="O18" i="1"/>
  <c r="O15" i="1"/>
  <c r="O14" i="1"/>
  <c r="O11" i="1"/>
  <c r="O10" i="1"/>
  <c r="O7" i="1"/>
  <c r="O6" i="1"/>
  <c r="O3" i="1"/>
  <c r="O2" i="1"/>
</calcChain>
</file>

<file path=xl/sharedStrings.xml><?xml version="1.0" encoding="utf-8"?>
<sst xmlns="http://schemas.openxmlformats.org/spreadsheetml/2006/main" count="267" uniqueCount="89">
  <si>
    <t>file_name</t>
  </si>
  <si>
    <t>land_use</t>
  </si>
  <si>
    <t>path</t>
  </si>
  <si>
    <t>crop_name</t>
  </si>
  <si>
    <t>irrigation_type</t>
  </si>
  <si>
    <t>on_off_field</t>
  </si>
  <si>
    <t>commodity_type</t>
  </si>
  <si>
    <t>crop_type</t>
  </si>
  <si>
    <t>crop_class</t>
  </si>
  <si>
    <t>crop_subclass</t>
  </si>
  <si>
    <t>c_crop</t>
  </si>
  <si>
    <t>c_res</t>
  </si>
  <si>
    <t>c_final</t>
  </si>
  <si>
    <t>lu_Irrigated_Barley_residues_left_on_the_field.tif</t>
  </si>
  <si>
    <t>../data/land_use/lu_Irrigated_Barley_residues_left_on_the_field.tif</t>
  </si>
  <si>
    <t>Barley</t>
  </si>
  <si>
    <t>Irrigated</t>
  </si>
  <si>
    <t>on</t>
  </si>
  <si>
    <t>annual_crop</t>
  </si>
  <si>
    <t>annual</t>
  </si>
  <si>
    <t>Cereals</t>
  </si>
  <si>
    <t>Various</t>
  </si>
  <si>
    <t>lu_Irrigated_Barley_residues_removed_from_the_field.tif</t>
  </si>
  <si>
    <t>../data/land_use/lu_Irrigated_Barley_residues_removed_from_the_field.tif</t>
  </si>
  <si>
    <t>off</t>
  </si>
  <si>
    <t>lu_Irrigated_Maize_residues_left_on_the_field.tif</t>
  </si>
  <si>
    <t>../data/land_use/lu_Irrigated_Maize_residues_left_on_the_field.tif</t>
  </si>
  <si>
    <t>Maize</t>
  </si>
  <si>
    <t>lu_Irrigated_Maize_residues_removed_from_the_field.tif</t>
  </si>
  <si>
    <t>../data/land_use/lu_Irrigated_Maize_residues_removed_from_the_field.tif</t>
  </si>
  <si>
    <t>lu_Irrigated_Rapeseed_residues_left_on_the_field.tif</t>
  </si>
  <si>
    <t>../data/land_use/lu_Irrigated_Rapeseed_residues_left_on_the_field.tif</t>
  </si>
  <si>
    <t>Rapeseed</t>
  </si>
  <si>
    <t>Oilseed</t>
  </si>
  <si>
    <t>lu_Irrigated_Rapeseed_residues_removed_from_the_field.tif</t>
  </si>
  <si>
    <t>../data/land_use/lu_Irrigated_Rapeseed_residues_removed_from_the_field.tif</t>
  </si>
  <si>
    <t>lu_Irrigated_Sorghum_residues_left_on_the_field.tif</t>
  </si>
  <si>
    <t>../data/land_use/lu_Irrigated_Sorghum_residues_left_on_the_field.tif</t>
  </si>
  <si>
    <t>Sorghum</t>
  </si>
  <si>
    <t xml:space="preserve">Forage_Fodder_StrawOfCereal </t>
  </si>
  <si>
    <t>Mixed_Grasses</t>
  </si>
  <si>
    <t>lu_Irrigated_Sorghum_residues_removed_from_the_field.tif</t>
  </si>
  <si>
    <t>../data/land_use/lu_Irrigated_Sorghum_residues_removed_from_the_field.tif</t>
  </si>
  <si>
    <t>lu_Irrigated_Wheat_residues_left_on_the_field.tif</t>
  </si>
  <si>
    <t>../data/land_use/lu_Irrigated_Wheat_residues_left_on_the_field.tif</t>
  </si>
  <si>
    <t>Wheat</t>
  </si>
  <si>
    <t>lu_Irrigated_Wheat_residues_removed_from_the_field.tif</t>
  </si>
  <si>
    <t>../data/land_use/lu_Irrigated_Wheat_residues_removed_from_the_field.tif</t>
  </si>
  <si>
    <t>lu_Rainfed_Barley_residues_left_on_the_field.tif</t>
  </si>
  <si>
    <t>../data/land_use/lu_Rainfed_Barley_residues_left_on_the_field.tif</t>
  </si>
  <si>
    <t>Rainfed</t>
  </si>
  <si>
    <t>lu_Rainfed_Barley_residues_removed_from_the_field.tif</t>
  </si>
  <si>
    <t>../data/land_use/lu_Rainfed_Barley_residues_removed_from_the_field.tif</t>
  </si>
  <si>
    <t>lu_Rainfed_Maize_residues_left_on_the_field.tif</t>
  </si>
  <si>
    <t>../data/land_use/lu_Rainfed_Maize_residues_left_on_the_field.tif</t>
  </si>
  <si>
    <t>lu_Rainfed_Maize_residues_removed_from_the_field.tif</t>
  </si>
  <si>
    <t>../data/land_use/lu_Rainfed_Maize_residues_removed_from_the_field.tif</t>
  </si>
  <si>
    <t>lu_Rainfed_Rapeseed_residues_left_on_the_field.tif</t>
  </si>
  <si>
    <t>../data/land_use/lu_Rainfed_Rapeseed_residues_left_on_the_field.tif</t>
  </si>
  <si>
    <t>lu_Rainfed_Rapeseed_residues_removed_from_the_field.tif</t>
  </si>
  <si>
    <t>../data/land_use/lu_Rainfed_Rapeseed_residues_removed_from_the_field.tif</t>
  </si>
  <si>
    <t>lu_Rainfed_Sorghum_residues_left_on_the_field.tif</t>
  </si>
  <si>
    <t>../data/land_use/lu_Rainfed_Sorghum_residues_left_on_the_field.tif</t>
  </si>
  <si>
    <t>lu_Rainfed_Sorghum_residues_removed_from_the_field.tif</t>
  </si>
  <si>
    <t>../data/land_use/lu_Rainfed_Sorghum_residues_removed_from_the_field.tif</t>
  </si>
  <si>
    <t>tillage</t>
  </si>
  <si>
    <t>reduced</t>
  </si>
  <si>
    <t>c_tillage</t>
  </si>
  <si>
    <t>lu_Irrigated_cotton.tif</t>
  </si>
  <si>
    <t>../data/land_use/lu_Irrigated_cotton.tif</t>
  </si>
  <si>
    <t>Cotton</t>
  </si>
  <si>
    <t>NA</t>
  </si>
  <si>
    <t>lu_Rainfed_cotton.tif</t>
  </si>
  <si>
    <t>../data/land_use/lu_Rainfed_cotton.tif</t>
  </si>
  <si>
    <t>lu_Irrigated_Soybeans.tif</t>
  </si>
  <si>
    <t>../data/land_use/lu_Irrigated_Soybeans.tif</t>
  </si>
  <si>
    <t>Soybeans</t>
  </si>
  <si>
    <t>Vegetables_Legume</t>
  </si>
  <si>
    <t>lu_Irrigated_Sunflower.tif</t>
  </si>
  <si>
    <t>../data/land_use/lu_Irrigated_Sunflower.tif</t>
  </si>
  <si>
    <t>Sunflower</t>
  </si>
  <si>
    <t>lu_Rainfed_Soybeans.tif</t>
  </si>
  <si>
    <t>../data/land_use/lu_Rainfed_Soybeans.tif</t>
  </si>
  <si>
    <t>lu_Rainfed_Sunflower.tif</t>
  </si>
  <si>
    <t>../data/land_use/lu_Rainfed_Sunflower.tif</t>
  </si>
  <si>
    <t>lu_Rainfed_Wheat_residues_left_on_the_field.tif</t>
  </si>
  <si>
    <t>../data/land_use/lu_Rainfed_Wheat_residues_left_on_the_field.tif</t>
  </si>
  <si>
    <t>lu_Rainfed_Wheat_residues_removed_from_the_field.tif</t>
  </si>
  <si>
    <t>../data/land_use/lu_Rainfed_Wheat_residues_removed_from_the_field.tif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</si>
</sst>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wildlifefund-my.sharepoint.com/personal/cristobal_loyola_wwfus_org/Documents/Documents/203.%20Python%20projects/SBTN_Test/data/crops/lu_c_factor_inventory.xlsx" TargetMode="External"/><Relationship Id="rId1" Type="http://schemas.openxmlformats.org/officeDocument/2006/relationships/externalLinkPath" Target="lu_c_factor_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ground_occupation_file_inde"/>
      <sheetName val="Crop_Classification"/>
      <sheetName val="C_Crop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63D1-830A-486E-AE30-CC87FDA7651F}">
  <dimension ref="A1:O27"/>
  <sheetViews>
    <sheetView tabSelected="1" topLeftCell="C8" workbookViewId="0">
      <selection activeCell="I27" sqref="I27"/>
    </sheetView>
  </sheetViews>
  <sheetFormatPr defaultRowHeight="14.5" x14ac:dyDescent="0.35"/>
  <cols>
    <col min="1" max="1" width="49.453125" bestFit="1" customWidth="1"/>
    <col min="2" max="2" width="44.90625" bestFit="1" customWidth="1"/>
    <col min="3" max="3" width="63.6328125" bestFit="1" customWidth="1"/>
    <col min="6" max="6" width="10.6328125" bestFit="1" customWidth="1"/>
    <col min="7" max="7" width="10.6328125" customWidth="1"/>
    <col min="8" max="8" width="14.81640625" bestFit="1" customWidth="1"/>
    <col min="10" max="10" width="26.179687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67</v>
      </c>
      <c r="O1" s="3" t="s">
        <v>12</v>
      </c>
    </row>
    <row r="2" spans="1:15" x14ac:dyDescent="0.35">
      <c r="A2" s="4" t="s">
        <v>13</v>
      </c>
      <c r="B2" s="5" t="str">
        <f>+D2&amp;IF(E2="Irrigated","_irr","_rf")&amp;IF(F2="on","_ron",IF(F2="off","_roff",""))&amp;"_rt"</f>
        <v>Barley_irr_ron_rt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66</v>
      </c>
      <c r="H2" s="5" t="s">
        <v>18</v>
      </c>
      <c r="I2" s="5" t="s">
        <v>19</v>
      </c>
      <c r="J2" s="5" t="s">
        <v>20</v>
      </c>
      <c r="K2" s="5" t="s">
        <v>21</v>
      </c>
      <c r="L2" s="5">
        <v>0.2</v>
      </c>
      <c r="M2" s="5">
        <v>0.88</v>
      </c>
      <c r="N2" s="5">
        <v>0.35</v>
      </c>
      <c r="O2" s="5">
        <f>+N2*M2*L2</f>
        <v>6.1600000000000002E-2</v>
      </c>
    </row>
    <row r="3" spans="1:15" x14ac:dyDescent="0.35">
      <c r="A3" s="7" t="s">
        <v>22</v>
      </c>
      <c r="B3" s="5" t="str">
        <f t="shared" ref="B3:B27" si="0">+D3&amp;IF(E3="Irrigated","_irr","_rf")&amp;IF(F3="on","_ron",IF(F3="off","_roff",""))&amp;"_rt"</f>
        <v>Barley_irr_roff_rt</v>
      </c>
      <c r="C3" s="8" t="s">
        <v>23</v>
      </c>
      <c r="D3" s="8" t="s">
        <v>15</v>
      </c>
      <c r="E3" s="8" t="s">
        <v>16</v>
      </c>
      <c r="F3" s="8" t="s">
        <v>24</v>
      </c>
      <c r="G3" s="8" t="s">
        <v>66</v>
      </c>
      <c r="H3" s="8" t="s">
        <v>18</v>
      </c>
      <c r="I3" s="8" t="s">
        <v>19</v>
      </c>
      <c r="J3" s="8" t="s">
        <v>20</v>
      </c>
      <c r="K3" s="8" t="s">
        <v>21</v>
      </c>
      <c r="L3" s="8">
        <v>0.2</v>
      </c>
      <c r="M3" s="8">
        <v>1</v>
      </c>
      <c r="N3" s="8">
        <v>0.35</v>
      </c>
      <c r="O3" s="8">
        <f>+N3*M3*L3</f>
        <v>6.9999999999999993E-2</v>
      </c>
    </row>
    <row r="4" spans="1:15" x14ac:dyDescent="0.35">
      <c r="A4" s="4" t="s">
        <v>48</v>
      </c>
      <c r="B4" s="5" t="str">
        <f t="shared" si="0"/>
        <v>Barley_rf_ron_rt</v>
      </c>
      <c r="C4" s="5" t="s">
        <v>49</v>
      </c>
      <c r="D4" s="5" t="s">
        <v>15</v>
      </c>
      <c r="E4" s="5" t="s">
        <v>50</v>
      </c>
      <c r="F4" s="5" t="s">
        <v>17</v>
      </c>
      <c r="G4" s="5" t="s">
        <v>66</v>
      </c>
      <c r="H4" s="5" t="s">
        <v>18</v>
      </c>
      <c r="I4" s="5" t="s">
        <v>19</v>
      </c>
      <c r="J4" s="5" t="s">
        <v>20</v>
      </c>
      <c r="K4" s="5" t="s">
        <v>21</v>
      </c>
      <c r="L4" s="5">
        <v>0.2</v>
      </c>
      <c r="M4" s="5">
        <v>0.88</v>
      </c>
      <c r="N4" s="5">
        <v>0.35</v>
      </c>
      <c r="O4" s="5">
        <f>+N4*M4*L4</f>
        <v>6.1600000000000002E-2</v>
      </c>
    </row>
    <row r="5" spans="1:15" x14ac:dyDescent="0.35">
      <c r="A5" s="7" t="s">
        <v>51</v>
      </c>
      <c r="B5" s="5" t="str">
        <f t="shared" si="0"/>
        <v>Barley_rf_roff_rt</v>
      </c>
      <c r="C5" s="8" t="s">
        <v>52</v>
      </c>
      <c r="D5" s="8" t="s">
        <v>15</v>
      </c>
      <c r="E5" s="8" t="s">
        <v>50</v>
      </c>
      <c r="F5" s="8" t="s">
        <v>24</v>
      </c>
      <c r="G5" s="8" t="s">
        <v>66</v>
      </c>
      <c r="H5" s="8" t="s">
        <v>18</v>
      </c>
      <c r="I5" s="8" t="s">
        <v>19</v>
      </c>
      <c r="J5" s="8" t="s">
        <v>20</v>
      </c>
      <c r="K5" s="8" t="s">
        <v>21</v>
      </c>
      <c r="L5" s="8">
        <v>0.2</v>
      </c>
      <c r="M5" s="8">
        <v>1</v>
      </c>
      <c r="N5" s="8">
        <v>0.35</v>
      </c>
      <c r="O5" s="8">
        <f>+N5*M5*L5</f>
        <v>6.9999999999999993E-2</v>
      </c>
    </row>
    <row r="6" spans="1:15" x14ac:dyDescent="0.35">
      <c r="A6" s="4" t="s">
        <v>25</v>
      </c>
      <c r="B6" s="5" t="str">
        <f t="shared" si="0"/>
        <v>Maize_irr_ron_rt</v>
      </c>
      <c r="C6" s="5" t="s">
        <v>26</v>
      </c>
      <c r="D6" s="5" t="s">
        <v>27</v>
      </c>
      <c r="E6" s="5" t="s">
        <v>16</v>
      </c>
      <c r="F6" s="5" t="s">
        <v>17</v>
      </c>
      <c r="G6" s="5" t="s">
        <v>66</v>
      </c>
      <c r="H6" s="5" t="s">
        <v>18</v>
      </c>
      <c r="I6" s="5" t="s">
        <v>19</v>
      </c>
      <c r="J6" s="5" t="s">
        <v>20</v>
      </c>
      <c r="K6" s="5" t="s">
        <v>27</v>
      </c>
      <c r="L6" s="5">
        <v>0.38</v>
      </c>
      <c r="M6" s="5">
        <v>0.88</v>
      </c>
      <c r="N6" s="5">
        <v>0.35</v>
      </c>
      <c r="O6" s="5">
        <f>+N6*M6*L6</f>
        <v>0.11704000000000001</v>
      </c>
    </row>
    <row r="7" spans="1:15" x14ac:dyDescent="0.35">
      <c r="A7" s="7" t="s">
        <v>28</v>
      </c>
      <c r="B7" s="5" t="str">
        <f t="shared" si="0"/>
        <v>Maize_irr_roff_rt</v>
      </c>
      <c r="C7" s="8" t="s">
        <v>29</v>
      </c>
      <c r="D7" s="8" t="s">
        <v>27</v>
      </c>
      <c r="E7" s="8" t="s">
        <v>16</v>
      </c>
      <c r="F7" s="8" t="s">
        <v>24</v>
      </c>
      <c r="G7" s="8" t="s">
        <v>66</v>
      </c>
      <c r="H7" s="8" t="s">
        <v>18</v>
      </c>
      <c r="I7" s="8" t="s">
        <v>19</v>
      </c>
      <c r="J7" s="8" t="s">
        <v>20</v>
      </c>
      <c r="K7" s="8" t="s">
        <v>27</v>
      </c>
      <c r="L7" s="8">
        <v>0.38</v>
      </c>
      <c r="M7" s="8">
        <v>1</v>
      </c>
      <c r="N7" s="8">
        <v>0.35</v>
      </c>
      <c r="O7" s="8">
        <f>+N7*M7*L7</f>
        <v>0.13299999999999998</v>
      </c>
    </row>
    <row r="8" spans="1:15" x14ac:dyDescent="0.35">
      <c r="A8" s="4" t="s">
        <v>53</v>
      </c>
      <c r="B8" s="5" t="str">
        <f t="shared" si="0"/>
        <v>Maize_rf_ron_rt</v>
      </c>
      <c r="C8" s="5" t="s">
        <v>54</v>
      </c>
      <c r="D8" s="5" t="s">
        <v>27</v>
      </c>
      <c r="E8" s="5" t="s">
        <v>50</v>
      </c>
      <c r="F8" s="5" t="s">
        <v>17</v>
      </c>
      <c r="G8" s="5" t="s">
        <v>66</v>
      </c>
      <c r="H8" s="5" t="s">
        <v>18</v>
      </c>
      <c r="I8" s="5" t="s">
        <v>19</v>
      </c>
      <c r="J8" s="5" t="s">
        <v>20</v>
      </c>
      <c r="K8" s="5" t="s">
        <v>27</v>
      </c>
      <c r="L8" s="5">
        <v>0.38</v>
      </c>
      <c r="M8" s="5">
        <v>0.88</v>
      </c>
      <c r="N8" s="5">
        <v>0.35</v>
      </c>
      <c r="O8" s="5">
        <f>+N8*M8*L8</f>
        <v>0.11704000000000001</v>
      </c>
    </row>
    <row r="9" spans="1:15" x14ac:dyDescent="0.35">
      <c r="A9" s="7" t="s">
        <v>55</v>
      </c>
      <c r="B9" s="5" t="str">
        <f t="shared" si="0"/>
        <v>Maize_rf_roff_rt</v>
      </c>
      <c r="C9" s="8" t="s">
        <v>56</v>
      </c>
      <c r="D9" s="8" t="s">
        <v>27</v>
      </c>
      <c r="E9" s="8" t="s">
        <v>50</v>
      </c>
      <c r="F9" s="8" t="s">
        <v>24</v>
      </c>
      <c r="G9" s="8" t="s">
        <v>66</v>
      </c>
      <c r="H9" s="8" t="s">
        <v>18</v>
      </c>
      <c r="I9" s="8" t="s">
        <v>19</v>
      </c>
      <c r="J9" s="8" t="s">
        <v>20</v>
      </c>
      <c r="K9" s="8" t="s">
        <v>27</v>
      </c>
      <c r="L9" s="8">
        <v>0.38</v>
      </c>
      <c r="M9" s="8">
        <v>1</v>
      </c>
      <c r="N9" s="8">
        <v>0.35</v>
      </c>
      <c r="O9" s="8">
        <f>+N9*M9*L9</f>
        <v>0.13299999999999998</v>
      </c>
    </row>
    <row r="10" spans="1:15" x14ac:dyDescent="0.35">
      <c r="A10" s="4" t="s">
        <v>30</v>
      </c>
      <c r="B10" s="5" t="str">
        <f t="shared" si="0"/>
        <v>Rapeseed_irr_ron_rt</v>
      </c>
      <c r="C10" s="5" t="s">
        <v>31</v>
      </c>
      <c r="D10" s="5" t="s">
        <v>32</v>
      </c>
      <c r="E10" s="5" t="s">
        <v>16</v>
      </c>
      <c r="F10" s="5" t="s">
        <v>17</v>
      </c>
      <c r="G10" s="5" t="s">
        <v>66</v>
      </c>
      <c r="H10" s="5" t="s">
        <v>18</v>
      </c>
      <c r="I10" s="5" t="s">
        <v>19</v>
      </c>
      <c r="J10" s="5" t="s">
        <v>33</v>
      </c>
      <c r="K10" s="5" t="s">
        <v>21</v>
      </c>
      <c r="L10" s="5">
        <v>0.25</v>
      </c>
      <c r="M10" s="5">
        <v>0.88</v>
      </c>
      <c r="N10" s="5">
        <v>0.35</v>
      </c>
      <c r="O10" s="5">
        <f>+N10*M10*L10</f>
        <v>7.6999999999999999E-2</v>
      </c>
    </row>
    <row r="11" spans="1:15" x14ac:dyDescent="0.35">
      <c r="A11" s="7" t="s">
        <v>34</v>
      </c>
      <c r="B11" s="5" t="str">
        <f t="shared" si="0"/>
        <v>Rapeseed_irr_roff_rt</v>
      </c>
      <c r="C11" s="8" t="s">
        <v>35</v>
      </c>
      <c r="D11" s="8" t="s">
        <v>32</v>
      </c>
      <c r="E11" s="8" t="s">
        <v>16</v>
      </c>
      <c r="F11" s="8" t="s">
        <v>24</v>
      </c>
      <c r="G11" s="8" t="s">
        <v>66</v>
      </c>
      <c r="H11" s="8" t="s">
        <v>18</v>
      </c>
      <c r="I11" s="8" t="s">
        <v>19</v>
      </c>
      <c r="J11" s="8" t="s">
        <v>33</v>
      </c>
      <c r="K11" s="8" t="s">
        <v>21</v>
      </c>
      <c r="L11" s="8">
        <v>0.25</v>
      </c>
      <c r="M11" s="8">
        <v>1</v>
      </c>
      <c r="N11" s="8">
        <v>0.35</v>
      </c>
      <c r="O11" s="8">
        <f>+N11*M11*L11</f>
        <v>8.7499999999999994E-2</v>
      </c>
    </row>
    <row r="12" spans="1:15" x14ac:dyDescent="0.35">
      <c r="A12" s="4" t="s">
        <v>57</v>
      </c>
      <c r="B12" s="5" t="str">
        <f t="shared" si="0"/>
        <v>Rapeseed_rf_ron_rt</v>
      </c>
      <c r="C12" s="5" t="s">
        <v>58</v>
      </c>
      <c r="D12" s="5" t="s">
        <v>32</v>
      </c>
      <c r="E12" s="5" t="s">
        <v>50</v>
      </c>
      <c r="F12" s="5" t="s">
        <v>17</v>
      </c>
      <c r="G12" s="5" t="s">
        <v>66</v>
      </c>
      <c r="H12" s="5" t="s">
        <v>18</v>
      </c>
      <c r="I12" s="5" t="s">
        <v>19</v>
      </c>
      <c r="J12" s="5" t="s">
        <v>33</v>
      </c>
      <c r="K12" s="5" t="s">
        <v>21</v>
      </c>
      <c r="L12" s="5">
        <v>0.25</v>
      </c>
      <c r="M12" s="5">
        <v>0.88</v>
      </c>
      <c r="N12" s="5">
        <v>0.35</v>
      </c>
      <c r="O12" s="5">
        <f>+N12*M12*L12</f>
        <v>7.6999999999999999E-2</v>
      </c>
    </row>
    <row r="13" spans="1:15" x14ac:dyDescent="0.35">
      <c r="A13" s="7" t="s">
        <v>59</v>
      </c>
      <c r="B13" s="5" t="str">
        <f t="shared" si="0"/>
        <v>Rapeseed_rf_roff_rt</v>
      </c>
      <c r="C13" s="8" t="s">
        <v>60</v>
      </c>
      <c r="D13" s="8" t="s">
        <v>32</v>
      </c>
      <c r="E13" s="8" t="s">
        <v>50</v>
      </c>
      <c r="F13" s="8" t="s">
        <v>24</v>
      </c>
      <c r="G13" s="8" t="s">
        <v>66</v>
      </c>
      <c r="H13" s="8" t="s">
        <v>18</v>
      </c>
      <c r="I13" s="8" t="s">
        <v>19</v>
      </c>
      <c r="J13" s="8" t="s">
        <v>33</v>
      </c>
      <c r="K13" s="8" t="s">
        <v>21</v>
      </c>
      <c r="L13" s="8">
        <v>0.25</v>
      </c>
      <c r="M13" s="8">
        <v>1</v>
      </c>
      <c r="N13" s="8">
        <v>0.35</v>
      </c>
      <c r="O13" s="8">
        <f>+N13*M13*L13</f>
        <v>8.7499999999999994E-2</v>
      </c>
    </row>
    <row r="14" spans="1:15" x14ac:dyDescent="0.35">
      <c r="A14" s="4" t="s">
        <v>36</v>
      </c>
      <c r="B14" s="5" t="str">
        <f t="shared" si="0"/>
        <v>Sorghum_irr_ron_rt</v>
      </c>
      <c r="C14" s="5" t="s">
        <v>37</v>
      </c>
      <c r="D14" s="5" t="s">
        <v>38</v>
      </c>
      <c r="E14" s="5" t="s">
        <v>16</v>
      </c>
      <c r="F14" s="5" t="s">
        <v>17</v>
      </c>
      <c r="G14" s="5" t="s">
        <v>66</v>
      </c>
      <c r="H14" s="5" t="s">
        <v>18</v>
      </c>
      <c r="I14" s="5" t="s">
        <v>19</v>
      </c>
      <c r="J14" s="5" t="s">
        <v>39</v>
      </c>
      <c r="K14" s="5" t="s">
        <v>40</v>
      </c>
      <c r="L14" s="5">
        <v>0.1</v>
      </c>
      <c r="M14" s="5">
        <v>0.88</v>
      </c>
      <c r="N14" s="5">
        <v>0.35</v>
      </c>
      <c r="O14" s="5">
        <f>+N14*M14*L14</f>
        <v>3.0800000000000001E-2</v>
      </c>
    </row>
    <row r="15" spans="1:15" x14ac:dyDescent="0.35">
      <c r="A15" s="7" t="s">
        <v>41</v>
      </c>
      <c r="B15" s="5" t="str">
        <f t="shared" si="0"/>
        <v>Sorghum_irr_roff_rt</v>
      </c>
      <c r="C15" s="8" t="s">
        <v>42</v>
      </c>
      <c r="D15" s="8" t="s">
        <v>38</v>
      </c>
      <c r="E15" s="8" t="s">
        <v>16</v>
      </c>
      <c r="F15" s="8" t="s">
        <v>24</v>
      </c>
      <c r="G15" s="8" t="s">
        <v>66</v>
      </c>
      <c r="H15" s="8" t="s">
        <v>18</v>
      </c>
      <c r="I15" s="8" t="s">
        <v>19</v>
      </c>
      <c r="J15" s="8" t="s">
        <v>39</v>
      </c>
      <c r="K15" s="8" t="s">
        <v>40</v>
      </c>
      <c r="L15" s="8">
        <v>0.1</v>
      </c>
      <c r="M15" s="8">
        <v>1</v>
      </c>
      <c r="N15" s="8">
        <v>0.35</v>
      </c>
      <c r="O15" s="8">
        <f>+N15*M15*L15</f>
        <v>3.4999999999999996E-2</v>
      </c>
    </row>
    <row r="16" spans="1:15" x14ac:dyDescent="0.35">
      <c r="A16" s="4" t="s">
        <v>61</v>
      </c>
      <c r="B16" s="5" t="str">
        <f t="shared" si="0"/>
        <v>Sorghum_rf_ron_rt</v>
      </c>
      <c r="C16" s="5" t="s">
        <v>62</v>
      </c>
      <c r="D16" s="5" t="s">
        <v>38</v>
      </c>
      <c r="E16" s="5" t="s">
        <v>50</v>
      </c>
      <c r="F16" s="5" t="s">
        <v>17</v>
      </c>
      <c r="G16" s="5" t="s">
        <v>66</v>
      </c>
      <c r="H16" s="5" t="s">
        <v>18</v>
      </c>
      <c r="I16" s="5" t="s">
        <v>19</v>
      </c>
      <c r="J16" s="5" t="s">
        <v>39</v>
      </c>
      <c r="K16" s="5" t="s">
        <v>40</v>
      </c>
      <c r="L16" s="5">
        <v>0.1</v>
      </c>
      <c r="M16" s="5">
        <v>0.88</v>
      </c>
      <c r="N16" s="5">
        <v>0.35</v>
      </c>
      <c r="O16" s="5">
        <f>+N16*M16*L16</f>
        <v>3.0800000000000001E-2</v>
      </c>
    </row>
    <row r="17" spans="1:15" x14ac:dyDescent="0.35">
      <c r="A17" s="7" t="s">
        <v>63</v>
      </c>
      <c r="B17" s="5" t="str">
        <f t="shared" si="0"/>
        <v>Sorghum_rf_roff_rt</v>
      </c>
      <c r="C17" s="8" t="s">
        <v>64</v>
      </c>
      <c r="D17" s="8" t="s">
        <v>38</v>
      </c>
      <c r="E17" s="8" t="s">
        <v>50</v>
      </c>
      <c r="F17" s="8" t="s">
        <v>24</v>
      </c>
      <c r="G17" s="8" t="s">
        <v>66</v>
      </c>
      <c r="H17" s="8" t="s">
        <v>18</v>
      </c>
      <c r="I17" s="8" t="s">
        <v>19</v>
      </c>
      <c r="J17" s="8" t="s">
        <v>39</v>
      </c>
      <c r="K17" s="8" t="s">
        <v>40</v>
      </c>
      <c r="L17" s="8">
        <v>0.1</v>
      </c>
      <c r="M17" s="8">
        <v>1</v>
      </c>
      <c r="N17" s="8">
        <v>0.35</v>
      </c>
      <c r="O17" s="8">
        <f>+N17*M17*L17</f>
        <v>3.4999999999999996E-2</v>
      </c>
    </row>
    <row r="18" spans="1:15" x14ac:dyDescent="0.35">
      <c r="A18" s="4" t="s">
        <v>43</v>
      </c>
      <c r="B18" s="5" t="str">
        <f t="shared" si="0"/>
        <v>Wheat_irr_ron_rt</v>
      </c>
      <c r="C18" s="5" t="s">
        <v>44</v>
      </c>
      <c r="D18" s="5" t="s">
        <v>45</v>
      </c>
      <c r="E18" s="5" t="s">
        <v>16</v>
      </c>
      <c r="F18" s="5" t="s">
        <v>17</v>
      </c>
      <c r="G18" s="5" t="s">
        <v>66</v>
      </c>
      <c r="H18" s="5" t="s">
        <v>18</v>
      </c>
      <c r="I18" s="5" t="s">
        <v>19</v>
      </c>
      <c r="J18" s="5" t="s">
        <v>20</v>
      </c>
      <c r="K18" s="5" t="s">
        <v>21</v>
      </c>
      <c r="L18" s="5">
        <v>0.2</v>
      </c>
      <c r="M18" s="5">
        <v>0.88</v>
      </c>
      <c r="N18" s="5">
        <v>0.35</v>
      </c>
      <c r="O18" s="5">
        <f>+N18*M18*L18</f>
        <v>6.1600000000000002E-2</v>
      </c>
    </row>
    <row r="19" spans="1:15" x14ac:dyDescent="0.35">
      <c r="A19" s="7" t="s">
        <v>46</v>
      </c>
      <c r="B19" s="5" t="str">
        <f t="shared" si="0"/>
        <v>Wheat_irr_roff_rt</v>
      </c>
      <c r="C19" s="8" t="s">
        <v>47</v>
      </c>
      <c r="D19" s="8" t="s">
        <v>45</v>
      </c>
      <c r="E19" s="8" t="s">
        <v>16</v>
      </c>
      <c r="F19" s="8" t="s">
        <v>24</v>
      </c>
      <c r="G19" s="8" t="s">
        <v>66</v>
      </c>
      <c r="H19" s="8" t="s">
        <v>18</v>
      </c>
      <c r="I19" s="8" t="s">
        <v>19</v>
      </c>
      <c r="J19" s="8" t="s">
        <v>20</v>
      </c>
      <c r="K19" s="8" t="s">
        <v>21</v>
      </c>
      <c r="L19" s="8">
        <v>0.2</v>
      </c>
      <c r="M19" s="8">
        <v>1</v>
      </c>
      <c r="N19" s="8">
        <v>0.35</v>
      </c>
      <c r="O19" s="8">
        <f>+N19*M19*L19</f>
        <v>6.9999999999999993E-2</v>
      </c>
    </row>
    <row r="20" spans="1:15" x14ac:dyDescent="0.35">
      <c r="A20" s="4" t="s">
        <v>68</v>
      </c>
      <c r="B20" s="5" t="str">
        <f t="shared" si="0"/>
        <v>Cotton_irr_rt</v>
      </c>
      <c r="C20" s="5" t="s">
        <v>69</v>
      </c>
      <c r="D20" s="5" t="s">
        <v>70</v>
      </c>
      <c r="E20" s="5" t="s">
        <v>16</v>
      </c>
      <c r="F20" s="5" t="s">
        <v>71</v>
      </c>
      <c r="G20" s="8" t="s">
        <v>66</v>
      </c>
      <c r="H20" s="5" t="s">
        <v>18</v>
      </c>
      <c r="I20" s="5" t="s">
        <v>19</v>
      </c>
      <c r="J20" s="5" t="s">
        <v>70</v>
      </c>
      <c r="K20" s="5" t="s">
        <v>70</v>
      </c>
      <c r="L20" s="5">
        <v>0.4</v>
      </c>
      <c r="M20" s="5">
        <v>1</v>
      </c>
      <c r="N20" s="8">
        <v>0.35</v>
      </c>
      <c r="O20" s="8">
        <f>+N20*M20*L20</f>
        <v>0.13999999999999999</v>
      </c>
    </row>
    <row r="21" spans="1:15" x14ac:dyDescent="0.35">
      <c r="A21" s="7" t="s">
        <v>72</v>
      </c>
      <c r="B21" s="5" t="str">
        <f t="shared" si="0"/>
        <v>Cotton_rf_rt</v>
      </c>
      <c r="C21" s="8" t="s">
        <v>73</v>
      </c>
      <c r="D21" s="5" t="s">
        <v>70</v>
      </c>
      <c r="E21" s="8" t="s">
        <v>50</v>
      </c>
      <c r="F21" s="8" t="s">
        <v>71</v>
      </c>
      <c r="G21" s="8" t="s">
        <v>66</v>
      </c>
      <c r="H21" s="8" t="s">
        <v>18</v>
      </c>
      <c r="I21" s="8" t="s">
        <v>19</v>
      </c>
      <c r="J21" s="8" t="s">
        <v>70</v>
      </c>
      <c r="K21" s="8" t="s">
        <v>70</v>
      </c>
      <c r="L21" s="8">
        <v>0.4</v>
      </c>
      <c r="M21" s="8">
        <v>1</v>
      </c>
      <c r="N21" s="8">
        <v>0.35</v>
      </c>
      <c r="O21" s="8">
        <f>+N21*M21*L21</f>
        <v>0.13999999999999999</v>
      </c>
    </row>
    <row r="22" spans="1:15" x14ac:dyDescent="0.35">
      <c r="A22" s="4" t="s">
        <v>74</v>
      </c>
      <c r="B22" s="5" t="str">
        <f t="shared" si="0"/>
        <v>Soybeans_irr_rt</v>
      </c>
      <c r="C22" s="5" t="s">
        <v>75</v>
      </c>
      <c r="D22" s="5" t="s">
        <v>76</v>
      </c>
      <c r="E22" s="5" t="s">
        <v>16</v>
      </c>
      <c r="F22" s="5" t="s">
        <v>71</v>
      </c>
      <c r="G22" s="8" t="s">
        <v>66</v>
      </c>
      <c r="H22" s="5" t="s">
        <v>18</v>
      </c>
      <c r="I22" s="5" t="s">
        <v>19</v>
      </c>
      <c r="J22" s="5" t="s">
        <v>77</v>
      </c>
      <c r="K22" s="5" t="s">
        <v>21</v>
      </c>
      <c r="L22" s="5">
        <v>0.32</v>
      </c>
      <c r="M22" s="5">
        <v>1</v>
      </c>
      <c r="N22" s="8">
        <v>0.35</v>
      </c>
      <c r="O22" s="8">
        <f>+N22*M22*L22</f>
        <v>0.11199999999999999</v>
      </c>
    </row>
    <row r="23" spans="1:15" x14ac:dyDescent="0.35">
      <c r="A23" s="7" t="s">
        <v>78</v>
      </c>
      <c r="B23" s="5" t="str">
        <f t="shared" si="0"/>
        <v>Sunflower_irr_rt</v>
      </c>
      <c r="C23" s="8" t="s">
        <v>79</v>
      </c>
      <c r="D23" s="8" t="s">
        <v>80</v>
      </c>
      <c r="E23" s="8" t="s">
        <v>16</v>
      </c>
      <c r="F23" s="8" t="s">
        <v>71</v>
      </c>
      <c r="G23" s="8" t="s">
        <v>66</v>
      </c>
      <c r="H23" s="8" t="s">
        <v>18</v>
      </c>
      <c r="I23" s="8" t="s">
        <v>19</v>
      </c>
      <c r="J23" s="8" t="s">
        <v>33</v>
      </c>
      <c r="K23" s="8" t="s">
        <v>21</v>
      </c>
      <c r="L23" s="8">
        <v>0.25</v>
      </c>
      <c r="M23" s="8">
        <v>1</v>
      </c>
      <c r="N23" s="8">
        <v>0.35</v>
      </c>
      <c r="O23" s="8">
        <f>+N23*M23*L23</f>
        <v>8.7499999999999994E-2</v>
      </c>
    </row>
    <row r="24" spans="1:15" x14ac:dyDescent="0.35">
      <c r="A24" s="4" t="s">
        <v>81</v>
      </c>
      <c r="B24" s="5" t="str">
        <f t="shared" si="0"/>
        <v>Soybeans_rf_rt</v>
      </c>
      <c r="C24" s="5" t="s">
        <v>82</v>
      </c>
      <c r="D24" s="5" t="s">
        <v>76</v>
      </c>
      <c r="E24" s="5" t="s">
        <v>50</v>
      </c>
      <c r="F24" s="5" t="s">
        <v>71</v>
      </c>
      <c r="G24" s="8" t="s">
        <v>66</v>
      </c>
      <c r="H24" s="5" t="s">
        <v>18</v>
      </c>
      <c r="I24" s="5" t="s">
        <v>19</v>
      </c>
      <c r="J24" s="5" t="s">
        <v>77</v>
      </c>
      <c r="K24" s="5" t="s">
        <v>21</v>
      </c>
      <c r="L24" s="5">
        <v>0.32</v>
      </c>
      <c r="M24" s="5">
        <v>1</v>
      </c>
      <c r="N24" s="8">
        <v>0.35</v>
      </c>
      <c r="O24" s="8">
        <f>+N24*M24*L24</f>
        <v>0.11199999999999999</v>
      </c>
    </row>
    <row r="25" spans="1:15" x14ac:dyDescent="0.35">
      <c r="A25" s="7" t="s">
        <v>83</v>
      </c>
      <c r="B25" s="5" t="str">
        <f t="shared" si="0"/>
        <v>Sunflower_rf_rt</v>
      </c>
      <c r="C25" s="8" t="s">
        <v>84</v>
      </c>
      <c r="D25" s="8" t="s">
        <v>80</v>
      </c>
      <c r="E25" s="8" t="s">
        <v>50</v>
      </c>
      <c r="F25" s="8" t="s">
        <v>71</v>
      </c>
      <c r="G25" s="8" t="s">
        <v>66</v>
      </c>
      <c r="H25" s="8" t="s">
        <v>18</v>
      </c>
      <c r="I25" s="8" t="s">
        <v>19</v>
      </c>
      <c r="J25" s="8" t="s">
        <v>33</v>
      </c>
      <c r="K25" s="8" t="s">
        <v>21</v>
      </c>
      <c r="L25" s="8">
        <v>0.25</v>
      </c>
      <c r="M25" s="8">
        <v>1</v>
      </c>
      <c r="N25" s="8">
        <v>0.35</v>
      </c>
      <c r="O25" s="8">
        <f>+N25*M25*L25</f>
        <v>8.7499999999999994E-2</v>
      </c>
    </row>
    <row r="26" spans="1:15" x14ac:dyDescent="0.35">
      <c r="A26" s="4" t="s">
        <v>85</v>
      </c>
      <c r="B26" s="5" t="str">
        <f t="shared" si="0"/>
        <v>Wheat_rf_ron_rt</v>
      </c>
      <c r="C26" s="5" t="s">
        <v>86</v>
      </c>
      <c r="D26" s="5" t="s">
        <v>45</v>
      </c>
      <c r="E26" s="5" t="s">
        <v>50</v>
      </c>
      <c r="F26" s="5" t="s">
        <v>17</v>
      </c>
      <c r="G26" s="5" t="str">
        <f>+_xlfn.XLOOKUP($D26,$D$11:$D$43,G$11:G$43,"missing",0)</f>
        <v>reduced</v>
      </c>
      <c r="H26" s="5" t="s">
        <v>19</v>
      </c>
      <c r="I26" s="5" t="str">
        <f>+_xlfn.XLOOKUP($D26,$D$11:$D$43,I$11:I$43,"missing",0)</f>
        <v>annual</v>
      </c>
      <c r="J26" s="5" t="str">
        <f>+_xlfn.XLOOKUP($D26,$D$11:$D$43,J$11:J$43,"missing",0)</f>
        <v>Cereals</v>
      </c>
      <c r="K26" s="5" t="str">
        <f>+_xlfn.XLOOKUP($D26,$D$11:$D$43,K$11:K$43,"missing",0)</f>
        <v>Various</v>
      </c>
      <c r="L26" s="5">
        <f>1-0.12</f>
        <v>0.88</v>
      </c>
      <c r="M26" s="6">
        <f>+[1]!foreground_occupation_file_index[[#This Row],[c_res]]*[1]!foreground_occupation_file_index[[#This Row],[c_crop]]</f>
        <v>0.15</v>
      </c>
      <c r="N26" s="8">
        <v>0.35</v>
      </c>
      <c r="O26" s="8">
        <f>+N26*M26*L26</f>
        <v>4.6199999999999998E-2</v>
      </c>
    </row>
    <row r="27" spans="1:15" x14ac:dyDescent="0.35">
      <c r="A27" s="7" t="s">
        <v>87</v>
      </c>
      <c r="B27" s="5" t="str">
        <f t="shared" si="0"/>
        <v>Wheat_rf_roff_rt</v>
      </c>
      <c r="C27" s="8" t="s">
        <v>88</v>
      </c>
      <c r="D27" s="8" t="s">
        <v>45</v>
      </c>
      <c r="E27" s="8" t="s">
        <v>50</v>
      </c>
      <c r="F27" s="8" t="s">
        <v>24</v>
      </c>
      <c r="G27" s="8" t="str">
        <f>+_xlfn.XLOOKUP($D27,$D$11:$D$43,G$11:G$43,"missing",0)</f>
        <v>reduced</v>
      </c>
      <c r="H27" s="8" t="s">
        <v>19</v>
      </c>
      <c r="I27" s="8" t="str">
        <f>+_xlfn.XLOOKUP($D27,$D$11:$D$43,I$11:I$43,"missing",0)</f>
        <v>annual</v>
      </c>
      <c r="J27" s="8" t="str">
        <f>+_xlfn.XLOOKUP($D27,$D$11:$D$43,J$11:J$43,"missing",0)</f>
        <v>Cereals</v>
      </c>
      <c r="K27" s="8" t="str">
        <f>+_xlfn.XLOOKUP($D27,$D$11:$D$43,K$11:K$43,"missing",0)</f>
        <v>Various</v>
      </c>
      <c r="L27" s="8">
        <v>1</v>
      </c>
      <c r="M27" s="9">
        <f>+[1]!foreground_occupation_file_index[[#This Row],[c_res]]*[1]!foreground_occupation_file_index[[#This Row],[c_crop]]</f>
        <v>0.3</v>
      </c>
      <c r="N27" s="8">
        <v>0.35</v>
      </c>
      <c r="O27" s="8">
        <f>+N27*M27*L27</f>
        <v>0.105</v>
      </c>
    </row>
  </sheetData>
  <autoFilter ref="A1:O19" xr:uid="{C3D563D1-830A-486E-AE30-CC87FDA7651F}">
    <sortState xmlns:xlrd2="http://schemas.microsoft.com/office/spreadsheetml/2017/richdata2" ref="A2:O19">
      <sortCondition ref="D1:D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2026-01-09T17:04:08Z</dcterms:created>
  <dcterms:modified xsi:type="dcterms:W3CDTF">2026-01-09T17:53:38Z</dcterms:modified>
</cp:coreProperties>
</file>