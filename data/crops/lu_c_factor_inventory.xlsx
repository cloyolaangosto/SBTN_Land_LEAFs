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"/>
    </mc:Choice>
  </mc:AlternateContent>
  <xr:revisionPtr revIDLastSave="120" documentId="8_{AA2EB21E-9C36-413E-A92A-3D12D76AAA96}" xr6:coauthVersionLast="47" xr6:coauthVersionMax="47" xr10:uidLastSave="{CFE3B18A-B01B-4791-895C-7BFAF4541078}"/>
  <bookViews>
    <workbookView xWindow="-110" yWindow="-110" windowWidth="19420" windowHeight="11500" xr2:uid="{6F9D02B0-B27B-4DAB-8C90-F4F799F4886A}"/>
  </bookViews>
  <sheets>
    <sheet name="foreground_occupation_file_inde" sheetId="2" r:id="rId1"/>
    <sheet name="Crop_Classification" sheetId="1" r:id="rId2"/>
    <sheet name="C_Crops" sheetId="3" r:id="rId3"/>
  </sheets>
  <definedNames>
    <definedName name="ExternalData_1" localSheetId="0" hidden="1">foreground_occupation_file_inde!$A$1:$C$81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2" l="1"/>
  <c r="G42" i="2"/>
  <c r="G41" i="2"/>
  <c r="G78" i="2" s="1"/>
  <c r="G40" i="2"/>
  <c r="G77" i="2" s="1"/>
  <c r="G39" i="2"/>
  <c r="G76" i="2" s="1"/>
  <c r="G38" i="2"/>
  <c r="G75" i="2" s="1"/>
  <c r="G37" i="2"/>
  <c r="G74" i="2" s="1"/>
  <c r="G36" i="2"/>
  <c r="G73" i="2" s="1"/>
  <c r="G35" i="2"/>
  <c r="G72" i="2" s="1"/>
  <c r="G34" i="2"/>
  <c r="G33" i="2"/>
  <c r="G70" i="2" s="1"/>
  <c r="G32" i="2"/>
  <c r="G69" i="2" s="1"/>
  <c r="G31" i="2"/>
  <c r="G30" i="2"/>
  <c r="G67" i="2" s="1"/>
  <c r="G29" i="2"/>
  <c r="G66" i="2" s="1"/>
  <c r="G28" i="2"/>
  <c r="G65" i="2" s="1"/>
  <c r="G27" i="2"/>
  <c r="G26" i="2"/>
  <c r="G64" i="2" s="1"/>
  <c r="G25" i="2"/>
  <c r="G63" i="2" s="1"/>
  <c r="G24" i="2"/>
  <c r="G23" i="2"/>
  <c r="G62" i="2" s="1"/>
  <c r="G22" i="2"/>
  <c r="G60" i="2" s="1"/>
  <c r="G21" i="2"/>
  <c r="G59" i="2" s="1"/>
  <c r="G20" i="2"/>
  <c r="G58" i="2" s="1"/>
  <c r="G19" i="2"/>
  <c r="G57" i="2" s="1"/>
  <c r="G18" i="2"/>
  <c r="G17" i="2"/>
  <c r="G55" i="2" s="1"/>
  <c r="G16" i="2"/>
  <c r="G15" i="2"/>
  <c r="G14" i="2"/>
  <c r="G13" i="2"/>
  <c r="G53" i="2" s="1"/>
  <c r="G12" i="2"/>
  <c r="G52" i="2" s="1"/>
  <c r="G11" i="2"/>
  <c r="G51" i="2" s="1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L79" i="2"/>
  <c r="L70" i="2"/>
  <c r="L67" i="2"/>
  <c r="L61" i="2"/>
  <c r="L53" i="2"/>
  <c r="L42" i="2"/>
  <c r="M42" i="2" s="1"/>
  <c r="L33" i="2"/>
  <c r="M33" i="2" s="1"/>
  <c r="L30" i="2"/>
  <c r="M30" i="2" s="1"/>
  <c r="L23" i="2"/>
  <c r="M23" i="2" s="1"/>
  <c r="L1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1" i="2"/>
  <c r="M32" i="2"/>
  <c r="M34" i="2"/>
  <c r="M35" i="2"/>
  <c r="M36" i="2"/>
  <c r="M37" i="2"/>
  <c r="M38" i="2"/>
  <c r="M39" i="2"/>
  <c r="M40" i="2"/>
  <c r="M41" i="2"/>
  <c r="M43" i="2"/>
  <c r="M44" i="2"/>
  <c r="M45" i="2"/>
  <c r="M46" i="2"/>
  <c r="M47" i="2"/>
  <c r="M48" i="2"/>
  <c r="M49" i="2"/>
  <c r="M50" i="2"/>
  <c r="M81" i="2"/>
  <c r="K59" i="2"/>
  <c r="M59" i="2" s="1"/>
  <c r="J62" i="2"/>
  <c r="K62" i="2"/>
  <c r="M62" i="2" s="1"/>
  <c r="J63" i="2"/>
  <c r="K63" i="2"/>
  <c r="M63" i="2" s="1"/>
  <c r="J64" i="2"/>
  <c r="K64" i="2"/>
  <c r="M64" i="2" s="1"/>
  <c r="J65" i="2"/>
  <c r="K65" i="2"/>
  <c r="M65" i="2" s="1"/>
  <c r="J66" i="2"/>
  <c r="K66" i="2"/>
  <c r="M66" i="2" s="1"/>
  <c r="J67" i="2"/>
  <c r="K67" i="2"/>
  <c r="G68" i="2"/>
  <c r="J68" i="2"/>
  <c r="K68" i="2"/>
  <c r="M68" i="2" s="1"/>
  <c r="J69" i="2"/>
  <c r="K69" i="2"/>
  <c r="M69" i="2" s="1"/>
  <c r="J70" i="2"/>
  <c r="K70" i="2"/>
  <c r="J71" i="2"/>
  <c r="K71" i="2"/>
  <c r="M71" i="2" s="1"/>
  <c r="J72" i="2"/>
  <c r="K72" i="2"/>
  <c r="M72" i="2" s="1"/>
  <c r="J73" i="2"/>
  <c r="K73" i="2"/>
  <c r="M73" i="2" s="1"/>
  <c r="J74" i="2"/>
  <c r="K74" i="2"/>
  <c r="M74" i="2" s="1"/>
  <c r="J75" i="2"/>
  <c r="K75" i="2"/>
  <c r="M75" i="2" s="1"/>
  <c r="J76" i="2"/>
  <c r="K76" i="2"/>
  <c r="M76" i="2" s="1"/>
  <c r="J77" i="2"/>
  <c r="K77" i="2"/>
  <c r="M77" i="2" s="1"/>
  <c r="J78" i="2"/>
  <c r="K78" i="2"/>
  <c r="M78" i="2" s="1"/>
  <c r="G79" i="2"/>
  <c r="J79" i="2"/>
  <c r="K79" i="2"/>
  <c r="M79" i="2" s="1"/>
  <c r="G80" i="2"/>
  <c r="J80" i="2"/>
  <c r="K80" i="2"/>
  <c r="M80" i="2" s="1"/>
  <c r="J81" i="2"/>
  <c r="J52" i="2"/>
  <c r="K52" i="2"/>
  <c r="M52" i="2" s="1"/>
  <c r="J53" i="2"/>
  <c r="K53" i="2"/>
  <c r="J54" i="2"/>
  <c r="K54" i="2"/>
  <c r="M54" i="2" s="1"/>
  <c r="J55" i="2"/>
  <c r="K55" i="2"/>
  <c r="M55" i="2" s="1"/>
  <c r="G56" i="2"/>
  <c r="J56" i="2"/>
  <c r="K56" i="2"/>
  <c r="M56" i="2" s="1"/>
  <c r="J57" i="2"/>
  <c r="K57" i="2"/>
  <c r="M57" i="2" s="1"/>
  <c r="J58" i="2"/>
  <c r="K58" i="2"/>
  <c r="M58" i="2" s="1"/>
  <c r="J59" i="2"/>
  <c r="J60" i="2"/>
  <c r="K60" i="2"/>
  <c r="M60" i="2" s="1"/>
  <c r="J61" i="2"/>
  <c r="K61" i="2"/>
  <c r="K51" i="2"/>
  <c r="M51" i="2" s="1"/>
  <c r="J51" i="2"/>
  <c r="G54" i="2" l="1"/>
  <c r="G71" i="2"/>
  <c r="G61" i="2"/>
  <c r="M67" i="2"/>
  <c r="M70" i="2"/>
  <c r="M61" i="2"/>
  <c r="M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A88525-8E99-4D12-962C-D2876917349D}" keepAlive="1" name="Query - foreground_occupation_file_index" description="Connection to the 'foreground_occupation_file_index' query in the workbook." type="5" refreshedVersion="8" background="1" saveData="1">
    <dbPr connection="Provider=Microsoft.Mashup.OleDb.1;Data Source=$Workbook$;Location=foreground_occupation_file_index;Extended Properties=&quot;&quot;" command="SELECT * FROM [foreground_occupation_file_index]"/>
  </connection>
</connections>
</file>

<file path=xl/sharedStrings.xml><?xml version="1.0" encoding="utf-8"?>
<sst xmlns="http://schemas.openxmlformats.org/spreadsheetml/2006/main" count="863" uniqueCount="491">
  <si>
    <t>file_name</t>
  </si>
  <si>
    <t>land_use</t>
  </si>
  <si>
    <t>path</t>
  </si>
  <si>
    <t>Broadleaf_Deciduous_Boreal_dry</t>
  </si>
  <si>
    <t>Broadleaf_Deciduous_Boreal_moist</t>
  </si>
  <si>
    <t>Broadleaf_Deciduous_Cold_temperate_dry</t>
  </si>
  <si>
    <t>Broadleaf_Deciduous_Cold_temperate_moist</t>
  </si>
  <si>
    <t>Broadleaf_Deciduous_Subtropical</t>
  </si>
  <si>
    <t>Broadleaf_Deciduous_Tropical</t>
  </si>
  <si>
    <t>Broadleaf_Deciduous_Warm_temperate_dry</t>
  </si>
  <si>
    <t>Broadleaf_Deciduous_Warm_temperate_moist</t>
  </si>
  <si>
    <t>Grassland</t>
  </si>
  <si>
    <t>Irrigated_Apples</t>
  </si>
  <si>
    <t>Irrigated_Bananas</t>
  </si>
  <si>
    <t>Irrigated_Barley_residues_left_on_the_field</t>
  </si>
  <si>
    <t>Irrigated_Barley_residues_removed_from_the_field</t>
  </si>
  <si>
    <t>Irrigated_Cabbages</t>
  </si>
  <si>
    <t>Irrigated_Carrots</t>
  </si>
  <si>
    <t>Irrigated_Cocoa</t>
  </si>
  <si>
    <t>Irrigated_Coconuts</t>
  </si>
  <si>
    <t>Irrigated_Coffee</t>
  </si>
  <si>
    <t>Irrigated_cotton</t>
  </si>
  <si>
    <t>Irrigated_Grapes</t>
  </si>
  <si>
    <t>Irrigated_Groundnuts</t>
  </si>
  <si>
    <t>Irrigated_Maize_residues_left_on_the_field</t>
  </si>
  <si>
    <t>Irrigated_Maize_residues_removed_from_the_field</t>
  </si>
  <si>
    <t>Irrigated_Oil_palm</t>
  </si>
  <si>
    <t>Irrigated_Olives</t>
  </si>
  <si>
    <t>Irrigated_Onions</t>
  </si>
  <si>
    <t>Irrigated_Oranges</t>
  </si>
  <si>
    <t>Irrigated_Potatoes</t>
  </si>
  <si>
    <t>Irrigated_Rapeseed_residues_left_on_the_field</t>
  </si>
  <si>
    <t>Irrigated_Rapeseed_residues_removed_from_the_field</t>
  </si>
  <si>
    <t>Irrigated_Rice</t>
  </si>
  <si>
    <t>Irrigated_Sorghum_residues_left_on_the_field</t>
  </si>
  <si>
    <t>Irrigated_Sorghum_residues_removed_from_the_field</t>
  </si>
  <si>
    <t>Irrigated_Soybeans</t>
  </si>
  <si>
    <t>Irrigated_Sugarbeet</t>
  </si>
  <si>
    <t>Irrigated_Sugarcane</t>
  </si>
  <si>
    <t>Irrigated_Sunflower</t>
  </si>
  <si>
    <t>Irrigated_Sweet_potatoes</t>
  </si>
  <si>
    <t>Irrigated_Tobacco</t>
  </si>
  <si>
    <t>Irrigated_Tomatoes</t>
  </si>
  <si>
    <t>Irrigated_Wheat_residues_left_on_the_field</t>
  </si>
  <si>
    <t>Irrigated_Wheat_residues_removed_from_the_field</t>
  </si>
  <si>
    <t>Needleleaf_Evergreen_Boreal_dry</t>
  </si>
  <si>
    <t>Needleleaf_Evergreen_Boreal_moist</t>
  </si>
  <si>
    <t>Needleleaf_Evergreen_Cold_temperate_dry</t>
  </si>
  <si>
    <t>Needleleaf_Evergreen_Cold_temperate_moist</t>
  </si>
  <si>
    <t>Needleleaf_Evergreen_Subtropical</t>
  </si>
  <si>
    <t>Needleleaf_Evergreen_Tropical</t>
  </si>
  <si>
    <t>Needleleaf_Evergreen_Warm_temperate_dry</t>
  </si>
  <si>
    <t>Rainfed_Apples</t>
  </si>
  <si>
    <t>Rainfed_Bananas</t>
  </si>
  <si>
    <t>Rainfed_Barley_residues_left_on_the_field</t>
  </si>
  <si>
    <t>Rainfed_Barley_residues_removed_from_the_field</t>
  </si>
  <si>
    <t>Rainfed_Cocoa</t>
  </si>
  <si>
    <t>Rainfed_Coconuts</t>
  </si>
  <si>
    <t>Rainfed_Coffee</t>
  </si>
  <si>
    <t>Rainfed_cotton</t>
  </si>
  <si>
    <t>Rainfed_Grapes</t>
  </si>
  <si>
    <t>Rainfed_Groundnuts</t>
  </si>
  <si>
    <t>Rainfed_Maize_residues_left_on_the_field</t>
  </si>
  <si>
    <t>Rainfed_Maize_residues_removed_from_the_field</t>
  </si>
  <si>
    <t>Rainfed_Oil_palm</t>
  </si>
  <si>
    <t>Rainfed_Olives</t>
  </si>
  <si>
    <t>Rainfed_Oranges</t>
  </si>
  <si>
    <t>Rainfed_Potatoes</t>
  </si>
  <si>
    <t>Rainfed_Rapeseed_residues_left_on_the_field</t>
  </si>
  <si>
    <t>Rainfed_Rapeseed_residues_removed_from_the_field</t>
  </si>
  <si>
    <t>Rainfed_Rice</t>
  </si>
  <si>
    <t>Rainfed_Sorghum_residues_left_on_the_field</t>
  </si>
  <si>
    <t>Rainfed_Sorghum_residues_removed_from_the_field</t>
  </si>
  <si>
    <t>Rainfed_Soybeans</t>
  </si>
  <si>
    <t>Rainfed_Sugarbeet</t>
  </si>
  <si>
    <t>Rainfed_Sugarcane</t>
  </si>
  <si>
    <t>Rainfed_Sunflower</t>
  </si>
  <si>
    <t>Rainfed_Sweet_potatoes</t>
  </si>
  <si>
    <t>Rainfed_Tobacco</t>
  </si>
  <si>
    <t>Rainfed_Tomatoes</t>
  </si>
  <si>
    <t>Rainfed_Wheat_residues_left_on_the_field</t>
  </si>
  <si>
    <t>Rainfed_Wheat_residues_removed_from_the_field</t>
  </si>
  <si>
    <t>Urban</t>
  </si>
  <si>
    <t>crop_name</t>
  </si>
  <si>
    <t>Wheat</t>
  </si>
  <si>
    <t>on</t>
  </si>
  <si>
    <t>off</t>
  </si>
  <si>
    <t>Irrigated</t>
  </si>
  <si>
    <t>irrigation_type</t>
  </si>
  <si>
    <t>on_off_field</t>
  </si>
  <si>
    <t>NA</t>
  </si>
  <si>
    <t>Rainfed</t>
  </si>
  <si>
    <t>Apples</t>
  </si>
  <si>
    <t>Bananas</t>
  </si>
  <si>
    <t>Cabbages</t>
  </si>
  <si>
    <t>Carrots</t>
  </si>
  <si>
    <t>Cocoa</t>
  </si>
  <si>
    <t>Coconuts</t>
  </si>
  <si>
    <t>Coffee</t>
  </si>
  <si>
    <t>cotton</t>
  </si>
  <si>
    <t>Grapes</t>
  </si>
  <si>
    <t>Groundnuts</t>
  </si>
  <si>
    <t>Oil_palm</t>
  </si>
  <si>
    <t>Olives</t>
  </si>
  <si>
    <t>Onions</t>
  </si>
  <si>
    <t>Oranges</t>
  </si>
  <si>
    <t>Potatoes</t>
  </si>
  <si>
    <t>Rice</t>
  </si>
  <si>
    <t>Soybeans</t>
  </si>
  <si>
    <t>Sugarbeet</t>
  </si>
  <si>
    <t>Sugarcane</t>
  </si>
  <si>
    <t>Sunflower</t>
  </si>
  <si>
    <t>Sweet_potatoes</t>
  </si>
  <si>
    <t>Tobacco</t>
  </si>
  <si>
    <t>Tomatoes</t>
  </si>
  <si>
    <t>Evergreen_Boreal_dry</t>
  </si>
  <si>
    <t>Evergreen_Boreal_moist</t>
  </si>
  <si>
    <t>Evergreen_Cold_temperate_dry</t>
  </si>
  <si>
    <t>Evergreen_Cold_temperate_moist</t>
  </si>
  <si>
    <t>Evergreen_Subtropical</t>
  </si>
  <si>
    <t>Evergreen_Tropical</t>
  </si>
  <si>
    <t>Evergreen_Warm_temperate_dry</t>
  </si>
  <si>
    <t>Supplementary Data 1</t>
  </si>
  <si>
    <r>
      <rPr>
        <b/>
        <sz val="12"/>
        <color rgb="FF000000"/>
        <rFont val="Times New Roman"/>
        <family val="1"/>
      </rPr>
      <t>Set of the 170 crop statistics used for the computation of the C-factor for croplands</t>
    </r>
    <r>
      <rPr>
        <sz val="12"/>
        <color rgb="FF000000"/>
        <rFont val="Times New Roman"/>
        <family val="1"/>
      </rPr>
      <t xml:space="preserve">. </t>
    </r>
  </si>
  <si>
    <t>The crops are grouped in fourteen crop groups according to their soil cover effectiveness. Crop data were provided by the Food and Agriculture Organization (FAO) (FAOSTAT database).</t>
  </si>
  <si>
    <t>Crop Group 1: Cereal Grains</t>
  </si>
  <si>
    <t xml:space="preserve">Wheat </t>
  </si>
  <si>
    <t>Barley</t>
  </si>
  <si>
    <t>Sorghum</t>
  </si>
  <si>
    <t>Millet</t>
  </si>
  <si>
    <t>Oats</t>
  </si>
  <si>
    <t>Rye</t>
  </si>
  <si>
    <t>Triticale</t>
  </si>
  <si>
    <t>Cereals, nes</t>
  </si>
  <si>
    <t>Buckwheat</t>
  </si>
  <si>
    <t>Grain, mixed</t>
  </si>
  <si>
    <t>Fonio</t>
  </si>
  <si>
    <t>Maize, green</t>
  </si>
  <si>
    <t>Maize</t>
  </si>
  <si>
    <t>Rice, paddy</t>
  </si>
  <si>
    <t>Crop Group 2: Legume Vegetables</t>
  </si>
  <si>
    <t>Beans, dry</t>
  </si>
  <si>
    <t>Groundnuts, with shell</t>
  </si>
  <si>
    <t>Chick peas</t>
  </si>
  <si>
    <t>Cow peas, dry</t>
  </si>
  <si>
    <t>Peas, dry</t>
  </si>
  <si>
    <t>Pigeon peas</t>
  </si>
  <si>
    <t>Pulses, nes</t>
  </si>
  <si>
    <t>Lentils</t>
  </si>
  <si>
    <t>Broad beans, horse beans, dry</t>
  </si>
  <si>
    <t>Peas, green</t>
  </si>
  <si>
    <t>Beans, green</t>
  </si>
  <si>
    <t>Lupins</t>
  </si>
  <si>
    <t>Vetches</t>
  </si>
  <si>
    <t>Vegetables, leguminous nes</t>
  </si>
  <si>
    <t>String beans</t>
  </si>
  <si>
    <t>Bambara beans</t>
  </si>
  <si>
    <t>Crop Group 3: Root and Tuber Vegetables</t>
  </si>
  <si>
    <t>Cassava</t>
  </si>
  <si>
    <t>Sugar beet</t>
  </si>
  <si>
    <t>Yams</t>
  </si>
  <si>
    <t>Sweet potatoes</t>
  </si>
  <si>
    <t>Taro (cocoyam)</t>
  </si>
  <si>
    <t>Roots and tubers, nes</t>
  </si>
  <si>
    <t>Carrots and turnips</t>
  </si>
  <si>
    <t>Vegetables and roots fodder</t>
  </si>
  <si>
    <t>Ginger</t>
  </si>
  <si>
    <t>Beets for fodder</t>
  </si>
  <si>
    <t>Turnips for fodder</t>
  </si>
  <si>
    <t>Swedes for fodder</t>
  </si>
  <si>
    <t>Yautia (cocoyam)</t>
  </si>
  <si>
    <t>Chicory roots</t>
  </si>
  <si>
    <t>Carrots for fodder</t>
  </si>
  <si>
    <t>Crop Group 4: Fruiting Vegetables</t>
  </si>
  <si>
    <t>Chillies and peppers, dry</t>
  </si>
  <si>
    <t>Chillies and peppers, green</t>
  </si>
  <si>
    <t>Eggplants (aubergines)</t>
  </si>
  <si>
    <t>Okra</t>
  </si>
  <si>
    <t>Pepper (piper spp.)</t>
  </si>
  <si>
    <t>Artichokes</t>
  </si>
  <si>
    <t>Crop Group 5: Cucurbit Vegetables</t>
  </si>
  <si>
    <t>Watermelons</t>
  </si>
  <si>
    <t>Cucumbers and gherkins</t>
  </si>
  <si>
    <t>Pumpkins, squash and gourds</t>
  </si>
  <si>
    <t>Melons, other (inc.cantaloupes)</t>
  </si>
  <si>
    <t>Melonseed</t>
  </si>
  <si>
    <t>Crop Group 6: Bulb Vegetable</t>
  </si>
  <si>
    <t>Onions, dry</t>
  </si>
  <si>
    <t>Garlic</t>
  </si>
  <si>
    <t>Onions, shallots, green</t>
  </si>
  <si>
    <t>Leeks, other alliaceous vegetables</t>
  </si>
  <si>
    <t>Asparagus</t>
  </si>
  <si>
    <t>Crop Group 7: Leafy Vegetables</t>
  </si>
  <si>
    <t>Lettuce and chicory</t>
  </si>
  <si>
    <t>Spinach</t>
  </si>
  <si>
    <t>Anise, badian, fennel, coriander</t>
  </si>
  <si>
    <t>Cauliflowers and broccoli</t>
  </si>
  <si>
    <t>Cabbage for fodder</t>
  </si>
  <si>
    <t>Cabbages and other brassicas</t>
  </si>
  <si>
    <t>Quinoa</t>
  </si>
  <si>
    <t>Vegetables, fresh nes</t>
  </si>
  <si>
    <t>Tobacco, unmanufactured</t>
  </si>
  <si>
    <r>
      <t>Crop Group 8.</t>
    </r>
    <r>
      <rPr>
        <b/>
        <sz val="10"/>
        <color rgb="FF000000"/>
        <rFont val="Times New Roman"/>
        <family val="1"/>
      </rPr>
      <t xml:space="preserve"> Forage, Fodder and Straw of Cereal </t>
    </r>
  </si>
  <si>
    <t>Mixed Grasses and Legumes</t>
  </si>
  <si>
    <t>Forage and silage, maize</t>
  </si>
  <si>
    <t>Forage and silage, legumes</t>
  </si>
  <si>
    <t>Forage and silage, clover</t>
  </si>
  <si>
    <t>Forage and silage, grasses nes</t>
  </si>
  <si>
    <t>Forage products</t>
  </si>
  <si>
    <t>Forage and silage, alfalfa</t>
  </si>
  <si>
    <t>Forage and silage, rye grass</t>
  </si>
  <si>
    <t>Forage and silage, green oilseeds</t>
  </si>
  <si>
    <t>Forage and silage, sorghum</t>
  </si>
  <si>
    <t>Crop Group 9: Grapes and Hops</t>
  </si>
  <si>
    <t>Hops</t>
  </si>
  <si>
    <t>Crop Group 10: Oilseed Group</t>
  </si>
  <si>
    <t>Sunflower seed</t>
  </si>
  <si>
    <t>Rapeseed</t>
  </si>
  <si>
    <t>Sesame seed</t>
  </si>
  <si>
    <t>Oilseeds nes</t>
  </si>
  <si>
    <t>Linseed</t>
  </si>
  <si>
    <t>Castor oil seed</t>
  </si>
  <si>
    <t>Safflower seed</t>
  </si>
  <si>
    <t>Mustard seed</t>
  </si>
  <si>
    <t>Canary seed</t>
  </si>
  <si>
    <t>Poppy seed</t>
  </si>
  <si>
    <t>Jojoba seed</t>
  </si>
  <si>
    <t>Seed cotton</t>
  </si>
  <si>
    <t>Crop Group 11: Fibre Crops</t>
  </si>
  <si>
    <t>Jute</t>
  </si>
  <si>
    <t>Bastfibres, other</t>
  </si>
  <si>
    <t>Manila fibre (abaca)</t>
  </si>
  <si>
    <t>Flax fibre and tow</t>
  </si>
  <si>
    <t>Agave fibres nes</t>
  </si>
  <si>
    <t>Sisal</t>
  </si>
  <si>
    <t>Fibre crops nes</t>
  </si>
  <si>
    <t>Crop Group 12: Berries Group</t>
  </si>
  <si>
    <t>Berries nes</t>
  </si>
  <si>
    <t>Raspberries</t>
  </si>
  <si>
    <t>Blueberries</t>
  </si>
  <si>
    <t>Gooseberries</t>
  </si>
  <si>
    <t>Cranberries</t>
  </si>
  <si>
    <t>Currants</t>
  </si>
  <si>
    <t>Strawberries</t>
  </si>
  <si>
    <t>Crop Group 13: Shrubs Herbs and Spices Group</t>
  </si>
  <si>
    <t>Coffee, green</t>
  </si>
  <si>
    <t>Nutmeg, mace and cardamoms</t>
  </si>
  <si>
    <t>Cinnamon (canella)</t>
  </si>
  <si>
    <t>Vanilla</t>
  </si>
  <si>
    <t>Maté</t>
  </si>
  <si>
    <t>Cloves</t>
  </si>
  <si>
    <t>Spices, nes</t>
  </si>
  <si>
    <t>Sugar cane</t>
  </si>
  <si>
    <t>Sugar crops, nes</t>
  </si>
  <si>
    <t>Ramie</t>
  </si>
  <si>
    <t>Tea   (0.1-0.2)</t>
  </si>
  <si>
    <t>Tea nes</t>
  </si>
  <si>
    <t>Hemp tow waste</t>
  </si>
  <si>
    <t>Hempseed</t>
  </si>
  <si>
    <t>Peppermint</t>
  </si>
  <si>
    <t>Pyrethrum, dried</t>
  </si>
  <si>
    <t>Crop Group 14: Trees/Fruit Tree</t>
  </si>
  <si>
    <t>Almond</t>
  </si>
  <si>
    <t>Almonds, with shell</t>
  </si>
  <si>
    <t>Apricots</t>
  </si>
  <si>
    <t>Areca nuts</t>
  </si>
  <si>
    <t>Avocados</t>
  </si>
  <si>
    <t>Brazil nuts, with shell</t>
  </si>
  <si>
    <t>Carobs</t>
  </si>
  <si>
    <t>Cashew nuts, with shell</t>
  </si>
  <si>
    <t>Cashewapple</t>
  </si>
  <si>
    <t>Cherries</t>
  </si>
  <si>
    <t>Cherries, sour</t>
  </si>
  <si>
    <t>Chestnut</t>
  </si>
  <si>
    <t>Cocoa, beans</t>
  </si>
  <si>
    <t>Dates</t>
  </si>
  <si>
    <t>Figs</t>
  </si>
  <si>
    <t>Fruit, citrus nes</t>
  </si>
  <si>
    <t>Fruit, fresh nes</t>
  </si>
  <si>
    <t>Fruit, pome nes</t>
  </si>
  <si>
    <t>Fruit, stone nes</t>
  </si>
  <si>
    <t>Fruit, tropical fresh nes</t>
  </si>
  <si>
    <t>Grapefruit (inc. pomelos)</t>
  </si>
  <si>
    <t>Hazelnuts, with shell</t>
  </si>
  <si>
    <t>Kapok fruit</t>
  </si>
  <si>
    <t>Karite nuts (sheanuts)</t>
  </si>
  <si>
    <t>Kiwi fruit</t>
  </si>
  <si>
    <t>Kola nuts</t>
  </si>
  <si>
    <t>Lemons and limes</t>
  </si>
  <si>
    <t>Mangoes, mangosteens, guavas</t>
  </si>
  <si>
    <t>Nuts, nes</t>
  </si>
  <si>
    <t>Oil, palm fruit</t>
  </si>
  <si>
    <t>Papayas</t>
  </si>
  <si>
    <t>Peaches and nectarines</t>
  </si>
  <si>
    <t>Pears</t>
  </si>
  <si>
    <t>Persimmons</t>
  </si>
  <si>
    <t>Pineapples</t>
  </si>
  <si>
    <t>Pistachios</t>
  </si>
  <si>
    <t>Plantains</t>
  </si>
  <si>
    <t>Plums and sloes</t>
  </si>
  <si>
    <t>Quinces</t>
  </si>
  <si>
    <t>Rubber, natural</t>
  </si>
  <si>
    <t>Tallowtree seed</t>
  </si>
  <si>
    <t>Tangerines, mandarins, clementines, satsumas</t>
  </si>
  <si>
    <t>Tung nuts</t>
  </si>
  <si>
    <t>Walnuts, with shell</t>
  </si>
  <si>
    <t>crop_type</t>
  </si>
  <si>
    <t>Fruit_Trees</t>
  </si>
  <si>
    <t>Cereals</t>
  </si>
  <si>
    <t>Vegetables_Leafy</t>
  </si>
  <si>
    <t>Vegetables_RootandTuber</t>
  </si>
  <si>
    <t>Cotton</t>
  </si>
  <si>
    <t>Various</t>
  </si>
  <si>
    <t>GrapesAndHops</t>
  </si>
  <si>
    <t>Vegetables_Legume</t>
  </si>
  <si>
    <t>c_crop</t>
  </si>
  <si>
    <t>Vegetable_Bulb</t>
  </si>
  <si>
    <t>Oilseed</t>
  </si>
  <si>
    <t xml:space="preserve">Forage_Fodder_StrawOfCereal </t>
  </si>
  <si>
    <t>Mixed_Grasses</t>
  </si>
  <si>
    <t>Shrub_Herbs_and_Spices</t>
  </si>
  <si>
    <t>Vegetables_Fruiting</t>
  </si>
  <si>
    <t>Forest</t>
  </si>
  <si>
    <t>Natural</t>
  </si>
  <si>
    <t>lu_Broadleaf_Deciduous_Boreal_dry.tif</t>
  </si>
  <si>
    <t>lu_Broadleaf_Deciduous_Boreal_moist.tif</t>
  </si>
  <si>
    <t>lu_Broadleaf_Deciduous_Cold_temperate_dry.tif</t>
  </si>
  <si>
    <t>lu_Broadleaf_Deciduous_Cold_temperate_moist.tif</t>
  </si>
  <si>
    <t>lu_Broadleaf_Deciduous_Subtropical.tif</t>
  </si>
  <si>
    <t>lu_Broadleaf_Deciduous_Tropical.tif</t>
  </si>
  <si>
    <t>lu_Broadleaf_Deciduous_Warm_temperate_dry.tif</t>
  </si>
  <si>
    <t>lu_Broadleaf_Deciduous_Warm_temperate_moist.tif</t>
  </si>
  <si>
    <t>lu_Grassland.tif</t>
  </si>
  <si>
    <t>lu_Irrigated_Apples.tif</t>
  </si>
  <si>
    <t>lu_Irrigated_Bananas.tif</t>
  </si>
  <si>
    <t>lu_Irrigated_Barley_residues_left_on_the_field.tif</t>
  </si>
  <si>
    <t>lu_Irrigated_Barley_residues_removed_from_the_field.tif</t>
  </si>
  <si>
    <t>lu_Irrigated_Cabbages.tif</t>
  </si>
  <si>
    <t>lu_Irrigated_Carrots.tif</t>
  </si>
  <si>
    <t>lu_Irrigated_Cocoa.tif</t>
  </si>
  <si>
    <t>lu_Irrigated_Coconuts.tif</t>
  </si>
  <si>
    <t>lu_Irrigated_Coffee.tif</t>
  </si>
  <si>
    <t>lu_Irrigated_cotton.tif</t>
  </si>
  <si>
    <t>lu_Irrigated_Grapes.tif</t>
  </si>
  <si>
    <t>lu_Irrigated_Groundnuts.tif</t>
  </si>
  <si>
    <t>lu_Irrigated_Maize_residues_left_on_the_field.tif</t>
  </si>
  <si>
    <t>lu_Irrigated_Maize_residues_removed_from_the_field.tif</t>
  </si>
  <si>
    <t>lu_Irrigated_Oil_palm.tif</t>
  </si>
  <si>
    <t>lu_Irrigated_Olives.tif</t>
  </si>
  <si>
    <t>lu_Irrigated_Onions.tif</t>
  </si>
  <si>
    <t>lu_Irrigated_Oranges.tif</t>
  </si>
  <si>
    <t>lu_Irrigated_Potatoes.tif</t>
  </si>
  <si>
    <t>lu_Irrigated_Rapeseed_residues_left_on_the_field.tif</t>
  </si>
  <si>
    <t>lu_Irrigated_Rapeseed_residues_removed_from_the_field.tif</t>
  </si>
  <si>
    <t>lu_Irrigated_Rice.tif</t>
  </si>
  <si>
    <t>lu_Irrigated_Sorghum_residues_left_on_the_field.tif</t>
  </si>
  <si>
    <t>lu_Irrigated_Sorghum_residues_removed_from_the_field.tif</t>
  </si>
  <si>
    <t>lu_Irrigated_Soybeans.tif</t>
  </si>
  <si>
    <t>lu_Irrigated_Sugarbeet.tif</t>
  </si>
  <si>
    <t>lu_Irrigated_Sugarcane.tif</t>
  </si>
  <si>
    <t>lu_Irrigated_Sunflower.tif</t>
  </si>
  <si>
    <t>lu_Irrigated_Sweet_potatoes.tif</t>
  </si>
  <si>
    <t>lu_Irrigated_Tobacco.tif</t>
  </si>
  <si>
    <t>lu_Irrigated_Tomatoes.tif</t>
  </si>
  <si>
    <t>lu_Irrigated_Wheat_residues_left_on_the_field.tif</t>
  </si>
  <si>
    <t>lu_Irrigated_Wheat_residues_removed_from_the_field.tif</t>
  </si>
  <si>
    <t>lu_Needleleaf_Evergreen_Boreal_dry.tif</t>
  </si>
  <si>
    <t>lu_Needleleaf_Evergreen_Boreal_moist.tif</t>
  </si>
  <si>
    <t>lu_Needleleaf_Evergreen_Cold_temperate_dry.tif</t>
  </si>
  <si>
    <t>lu_Needleleaf_Evergreen_Cold_temperate_moist.tif</t>
  </si>
  <si>
    <t>lu_Needleleaf_Evergreen_Subtropical.tif</t>
  </si>
  <si>
    <t>lu_Needleleaf_Evergreen_Tropical.tif</t>
  </si>
  <si>
    <t>lu_Needleleaf_Evergreen_Warm_temperate_dry.tif</t>
  </si>
  <si>
    <t>lu_Rainfed_Apples.tif</t>
  </si>
  <si>
    <t>lu_Rainfed_Bananas.tif</t>
  </si>
  <si>
    <t>lu_Rainfed_Barley_residues_left_on_the_field.tif</t>
  </si>
  <si>
    <t>lu_Rainfed_Barley_residues_removed_from_the_field.tif</t>
  </si>
  <si>
    <t>lu_Rainfed_Cocoa.tif</t>
  </si>
  <si>
    <t>lu_Rainfed_Coconuts.tif</t>
  </si>
  <si>
    <t>lu_Rainfed_Coffee.tif</t>
  </si>
  <si>
    <t>lu_Rainfed_cotton.tif</t>
  </si>
  <si>
    <t>lu_Rainfed_Grapes.tif</t>
  </si>
  <si>
    <t>lu_Rainfed_Groundnuts.tif</t>
  </si>
  <si>
    <t>lu_Rainfed_Maize_residues_left_on_the_field.tif</t>
  </si>
  <si>
    <t>lu_Rainfed_Maize_residues_removed_from_the_field.tif</t>
  </si>
  <si>
    <t>lu_Rainfed_Oil_palm.tif</t>
  </si>
  <si>
    <t>lu_Rainfed_Olives.tif</t>
  </si>
  <si>
    <t>lu_Rainfed_Oranges.tif</t>
  </si>
  <si>
    <t>lu_Rainfed_Potatoes.tif</t>
  </si>
  <si>
    <t>lu_Rainfed_Rapeseed_residues_left_on_the_field.tif</t>
  </si>
  <si>
    <t>lu_Rainfed_Rapeseed_residues_removed_from_the_field.tif</t>
  </si>
  <si>
    <t>lu_Rainfed_Rice.tif</t>
  </si>
  <si>
    <t>lu_Rainfed_Sorghum_residues_left_on_the_field.tif</t>
  </si>
  <si>
    <t>lu_Rainfed_Sorghum_residues_removed_from_the_field.tif</t>
  </si>
  <si>
    <t>lu_Rainfed_Soybeans.tif</t>
  </si>
  <si>
    <t>lu_Rainfed_Sugarbeet.tif</t>
  </si>
  <si>
    <t>lu_Rainfed_Sugarcane.tif</t>
  </si>
  <si>
    <t>lu_Rainfed_Sunflower.tif</t>
  </si>
  <si>
    <t>lu_Rainfed_Sweet_potatoes.tif</t>
  </si>
  <si>
    <t>lu_Rainfed_Tobacco.tif</t>
  </si>
  <si>
    <t>lu_Rainfed_Tomatoes.tif</t>
  </si>
  <si>
    <t>lu_Rainfed_Wheat_residues_left_on_the_field.tif</t>
  </si>
  <si>
    <t>lu_Rainfed_Wheat_residues_removed_from_the_field.tif</t>
  </si>
  <si>
    <t>lu_Urban.tif</t>
  </si>
  <si>
    <t>c_res</t>
  </si>
  <si>
    <t>c_final</t>
  </si>
  <si>
    <t>../data/land_use/lu_Broadleaf_Deciduous_Boreal_dry.tif</t>
  </si>
  <si>
    <t>../data/land_use/lu_Broadleaf_Deciduous_Boreal_moist.tif</t>
  </si>
  <si>
    <t>../data/land_use/lu_Broadleaf_Deciduous_Cold_temperate_dry.tif</t>
  </si>
  <si>
    <t>../data/land_use/lu_Broadleaf_Deciduous_Cold_temperate_moist.tif</t>
  </si>
  <si>
    <t>../data/land_use/lu_Broadleaf_Deciduous_Subtropical.tif</t>
  </si>
  <si>
    <t>../data/land_use/lu_Broadleaf_Deciduous_Tropical.tif</t>
  </si>
  <si>
    <t>../data/land_use/lu_Broadleaf_Deciduous_Warm_temperate_dry.tif</t>
  </si>
  <si>
    <t>../data/land_use/lu_Broadleaf_Deciduous_Warm_temperate_moist.tif</t>
  </si>
  <si>
    <t>../data/land_use/lu_Grassland.tif</t>
  </si>
  <si>
    <t>../data/land_use/lu_Irrigated_Apples.tif</t>
  </si>
  <si>
    <t>../data/land_use/lu_Irrigated_Bananas.tif</t>
  </si>
  <si>
    <t>../data/land_use/lu_Irrigated_Barley_residues_left_on_the_field.tif</t>
  </si>
  <si>
    <t>../data/land_use/lu_Irrigated_Barley_residues_removed_from_the_field.tif</t>
  </si>
  <si>
    <t>../data/land_use/lu_Irrigated_Cabbages.tif</t>
  </si>
  <si>
    <t>../data/land_use/lu_Irrigated_Carrots.tif</t>
  </si>
  <si>
    <t>../data/land_use/lu_Irrigated_Cocoa.tif</t>
  </si>
  <si>
    <t>../data/land_use/lu_Irrigated_Coconuts.tif</t>
  </si>
  <si>
    <t>../data/land_use/lu_Irrigated_Coffee.tif</t>
  </si>
  <si>
    <t>../data/land_use/lu_Irrigated_cotton.tif</t>
  </si>
  <si>
    <t>../data/land_use/lu_Irrigated_Grapes.tif</t>
  </si>
  <si>
    <t>../data/land_use/lu_Irrigated_Groundnuts.tif</t>
  </si>
  <si>
    <t>../data/land_use/lu_Irrigated_Maize_residues_left_on_the_field.tif</t>
  </si>
  <si>
    <t>../data/land_use/lu_Irrigated_Maize_residues_removed_from_the_field.tif</t>
  </si>
  <si>
    <t>../data/land_use/lu_Irrigated_Oil_palm.tif</t>
  </si>
  <si>
    <t>../data/land_use/lu_Irrigated_Olives.tif</t>
  </si>
  <si>
    <t>../data/land_use/lu_Irrigated_Onions.tif</t>
  </si>
  <si>
    <t>../data/land_use/lu_Irrigated_Oranges.tif</t>
  </si>
  <si>
    <t>../data/land_use/lu_Irrigated_Potatoes.tif</t>
  </si>
  <si>
    <t>../data/land_use/lu_Irrigated_Rapeseed_residues_left_on_the_field.tif</t>
  </si>
  <si>
    <t>../data/land_use/lu_Irrigated_Rapeseed_residues_removed_from_the_field.tif</t>
  </si>
  <si>
    <t>../data/land_use/lu_Irrigated_Rice.tif</t>
  </si>
  <si>
    <t>../data/land_use/lu_Irrigated_Sorghum_residues_left_on_the_field.tif</t>
  </si>
  <si>
    <t>../data/land_use/lu_Irrigated_Sorghum_residues_removed_from_the_field.tif</t>
  </si>
  <si>
    <t>../data/land_use/lu_Irrigated_Soybeans.tif</t>
  </si>
  <si>
    <t>../data/land_use/lu_Irrigated_Sugarbeet.tif</t>
  </si>
  <si>
    <t>../data/land_use/lu_Irrigated_Sugarcane.tif</t>
  </si>
  <si>
    <t>../data/land_use/lu_Irrigated_Sunflower.tif</t>
  </si>
  <si>
    <t>../data/land_use/lu_Irrigated_Sweet_potatoes.tif</t>
  </si>
  <si>
    <t>../data/land_use/lu_Irrigated_Tobacco.tif</t>
  </si>
  <si>
    <t>../data/land_use/lu_Irrigated_Tomatoes.tif</t>
  </si>
  <si>
    <t>../data/land_use/lu_Irrigated_Wheat_residues_left_on_the_field.tif</t>
  </si>
  <si>
    <t>../data/land_use/lu_Irrigated_Wheat_residues_removed_from_the_field.tif</t>
  </si>
  <si>
    <t>../data/land_use/lu_Needleleaf_Evergreen_Boreal_dry.tif</t>
  </si>
  <si>
    <t>../data/land_use/lu_Needleleaf_Evergreen_Boreal_moist.tif</t>
  </si>
  <si>
    <t>../data/land_use/lu_Needleleaf_Evergreen_Cold_temperate_dry.tif</t>
  </si>
  <si>
    <t>../data/land_use/lu_Needleleaf_Evergreen_Cold_temperate_moist.tif</t>
  </si>
  <si>
    <t>../data/land_use/lu_Needleleaf_Evergreen_Subtropical.tif</t>
  </si>
  <si>
    <t>../data/land_use/lu_Needleleaf_Evergreen_Tropical.tif</t>
  </si>
  <si>
    <t>../data/land_use/lu_Needleleaf_Evergreen_Warm_temperate_dry.tif</t>
  </si>
  <si>
    <t>../data/land_use/lu_Rainfed_Apples.tif</t>
  </si>
  <si>
    <t>../data/land_use/lu_Rainfed_Bananas.tif</t>
  </si>
  <si>
    <t>../data/land_use/lu_Rainfed_Barley_residues_left_on_the_field.tif</t>
  </si>
  <si>
    <t>../data/land_use/lu_Rainfed_Barley_residues_removed_from_the_field.tif</t>
  </si>
  <si>
    <t>../data/land_use/lu_Rainfed_Cocoa.tif</t>
  </si>
  <si>
    <t>../data/land_use/lu_Rainfed_Coconuts.tif</t>
  </si>
  <si>
    <t>../data/land_use/lu_Rainfed_Coffee.tif</t>
  </si>
  <si>
    <t>../data/land_use/lu_Rainfed_cotton.tif</t>
  </si>
  <si>
    <t>../data/land_use/lu_Rainfed_Grapes.tif</t>
  </si>
  <si>
    <t>../data/land_use/lu_Rainfed_Groundnuts.tif</t>
  </si>
  <si>
    <t>../data/land_use/lu_Rainfed_Maize_residues_left_on_the_field.tif</t>
  </si>
  <si>
    <t>../data/land_use/lu_Rainfed_Maize_residues_removed_from_the_field.tif</t>
  </si>
  <si>
    <t>../data/land_use/lu_Rainfed_Oil_palm.tif</t>
  </si>
  <si>
    <t>../data/land_use/lu_Rainfed_Olives.tif</t>
  </si>
  <si>
    <t>../data/land_use/lu_Rainfed_Oranges.tif</t>
  </si>
  <si>
    <t>../data/land_use/lu_Rainfed_Potatoes.tif</t>
  </si>
  <si>
    <t>../data/land_use/lu_Rainfed_Rapeseed_residues_left_on_the_field.tif</t>
  </si>
  <si>
    <t>../data/land_use/lu_Rainfed_Rapeseed_residues_removed_from_the_field.tif</t>
  </si>
  <si>
    <t>../data/land_use/lu_Rainfed_Rice.tif</t>
  </si>
  <si>
    <t>../data/land_use/lu_Rainfed_Sorghum_residues_left_on_the_field.tif</t>
  </si>
  <si>
    <t>../data/land_use/lu_Rainfed_Sorghum_residues_removed_from_the_field.tif</t>
  </si>
  <si>
    <t>../data/land_use/lu_Rainfed_Soybeans.tif</t>
  </si>
  <si>
    <t>../data/land_use/lu_Rainfed_Sugarbeet.tif</t>
  </si>
  <si>
    <t>../data/land_use/lu_Rainfed_Sugarcane.tif</t>
  </si>
  <si>
    <t>../data/land_use/lu_Rainfed_Sunflower.tif</t>
  </si>
  <si>
    <t>../data/land_use/lu_Rainfed_Sweet_potatoes.tif</t>
  </si>
  <si>
    <t>../data/land_use/lu_Rainfed_Tobacco.tif</t>
  </si>
  <si>
    <t>../data/land_use/lu_Rainfed_Tomatoes.tif</t>
  </si>
  <si>
    <t>../data/land_use/lu_Rainfed_Wheat_residues_left_on_the_field.tif</t>
  </si>
  <si>
    <t>../data/land_use/lu_Rainfed_Wheat_residues_removed_from_the_field.tif</t>
  </si>
  <si>
    <t>../data/land_use/lu_Urban.tif</t>
  </si>
  <si>
    <t>commodity_type</t>
  </si>
  <si>
    <t>crop_class</t>
  </si>
  <si>
    <t>crop_subclass</t>
  </si>
  <si>
    <t>permanent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</si>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</sst>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shrinkToFit="1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10</xdr:col>
      <xdr:colOff>273364</xdr:colOff>
      <xdr:row>26</xdr:row>
      <xdr:rowOff>171705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70946-E7D0-5849-BDDC-8B471248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6102664" cy="495960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4850C8-860C-4F23-93B2-CD904150A6F6}" autoFormatId="16" applyNumberFormats="0" applyBorderFormats="0" applyFontFormats="0" applyPatternFormats="0" applyAlignmentFormats="0" applyWidthHeightFormats="0">
  <queryTableRefresh nextId="15" unboundColumnsRight="10">
    <queryTableFields count="13">
      <queryTableField id="1" name="file_name" tableColumnId="1"/>
      <queryTableField id="2" name="land_use" tableColumnId="2"/>
      <queryTableField id="3" name="path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13" dataBound="0" tableColumnId="12"/>
      <queryTableField id="14" dataBound="0" tableColumnId="13"/>
      <queryTableField id="8" dataBound="0" tableColumnId="8"/>
      <queryTableField id="9" dataBound="0" tableColumnId="9"/>
      <queryTableField id="11" dataBound="0" tableColumnId="10"/>
      <queryTableField id="12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ACB39-A6C6-4049-8B69-94BB57FE429E}" name="foreground_occupation_file_index" displayName="foreground_occupation_file_index" ref="A1:M81" tableType="queryTable" totalsRowShown="0">
  <autoFilter ref="A1:M81" xr:uid="{B91ACB39-A6C6-4049-8B69-94BB57FE429E}">
    <filterColumn colId="3">
      <filters>
        <filter val="Wheat"/>
      </filters>
    </filterColumn>
  </autoFilter>
  <tableColumns count="13">
    <tableColumn id="1" xr3:uid="{705AD7F1-810F-4078-AF9D-E2A5540C1883}" uniqueName="1" name="file_name" queryTableFieldId="1" dataDxfId="10"/>
    <tableColumn id="2" xr3:uid="{058DBECE-D8A6-44ED-99FF-D660796ED3BB}" uniqueName="2" name="land_use" queryTableFieldId="2" dataDxfId="9"/>
    <tableColumn id="3" xr3:uid="{7DFC2AB1-8AD1-462B-A932-B862CB28BAB1}" uniqueName="3" name="path" queryTableFieldId="3" dataDxfId="8"/>
    <tableColumn id="4" xr3:uid="{B2D579CF-A571-45E0-B50C-E961A8E35C10}" uniqueName="4" name="crop_name" queryTableFieldId="4" dataDxfId="7"/>
    <tableColumn id="5" xr3:uid="{64E84341-910C-45DB-9CF2-A1479B33DB9F}" uniqueName="5" name="irrigation_type" queryTableFieldId="5" dataDxfId="6"/>
    <tableColumn id="6" xr3:uid="{2F6D434D-16CF-4B4F-AB70-00F4EE5CC576}" uniqueName="6" name="on_off_field" queryTableFieldId="6" dataDxfId="5"/>
    <tableColumn id="7" xr3:uid="{21B7956E-4A5C-427A-B53C-1727078C89EA}" uniqueName="7" name="commodity_type" queryTableFieldId="7" dataDxfId="4"/>
    <tableColumn id="12" xr3:uid="{7A4FB457-40F4-4DD8-A0BB-88585C232B49}" uniqueName="12" name="crop_type" queryTableFieldId="13"/>
    <tableColumn id="13" xr3:uid="{AEFE9D70-4CF9-44BD-B00B-BD26F54C2B75}" uniqueName="13" name="crop_class" queryTableFieldId="14"/>
    <tableColumn id="8" xr3:uid="{A55D118B-687D-492C-A26A-CBF26CECBEF2}" uniqueName="8" name="crop_subclass" queryTableFieldId="8" dataDxfId="3"/>
    <tableColumn id="9" xr3:uid="{1F7CC7C8-E38E-48A3-AE7F-C87CEFA067CE}" uniqueName="9" name="c_crop" queryTableFieldId="9" dataDxfId="2"/>
    <tableColumn id="10" xr3:uid="{675905E3-F4F9-434F-8898-3F732502BE89}" uniqueName="10" name="c_res" queryTableFieldId="11" dataDxfId="1"/>
    <tableColumn id="11" xr3:uid="{7F2A30B4-3EEF-48B3-B2C4-983D0B2C5ED4}" uniqueName="11" name="c_final" queryTableFieldId="12" dataDxfId="0">
      <calculatedColumnFormula>+foreground_occupation_file_index[[#This Row],[c_res]]*foreground_occupation_file_index[[#This Row],[c_crop]]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7CAB-CCC3-4E9F-B107-D69EEAD4EC67}">
  <dimension ref="A1:M81"/>
  <sheetViews>
    <sheetView tabSelected="1" workbookViewId="0">
      <selection activeCell="A35" sqref="A35:M75"/>
    </sheetView>
  </sheetViews>
  <sheetFormatPr defaultRowHeight="14.5" x14ac:dyDescent="0.35"/>
  <cols>
    <col min="1" max="1" width="28.1796875" customWidth="1"/>
    <col min="2" max="2" width="44.90625" bestFit="1" customWidth="1"/>
    <col min="3" max="3" width="29.54296875" customWidth="1"/>
    <col min="4" max="4" width="38.90625" bestFit="1" customWidth="1"/>
    <col min="5" max="5" width="12.26953125" bestFit="1" customWidth="1"/>
    <col min="6" max="6" width="10" bestFit="1" customWidth="1"/>
    <col min="7" max="7" width="26.1796875" bestFit="1" customWidth="1"/>
    <col min="8" max="8" width="21.36328125" bestFit="1" customWidth="1"/>
    <col min="9" max="9" width="21.36328125" customWidth="1"/>
    <col min="10" max="10" width="21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83</v>
      </c>
      <c r="E1" t="s">
        <v>88</v>
      </c>
      <c r="F1" t="s">
        <v>89</v>
      </c>
      <c r="G1" t="s">
        <v>486</v>
      </c>
      <c r="H1" t="s">
        <v>306</v>
      </c>
      <c r="I1" t="s">
        <v>487</v>
      </c>
      <c r="J1" t="s">
        <v>488</v>
      </c>
      <c r="K1" t="s">
        <v>315</v>
      </c>
      <c r="L1" t="s">
        <v>404</v>
      </c>
      <c r="M1" t="s">
        <v>405</v>
      </c>
    </row>
    <row r="2" spans="1:13" hidden="1" x14ac:dyDescent="0.35">
      <c r="A2" t="s">
        <v>324</v>
      </c>
      <c r="B2" t="s">
        <v>3</v>
      </c>
      <c r="C2" t="s">
        <v>406</v>
      </c>
      <c r="D2" t="s">
        <v>3</v>
      </c>
      <c r="E2" t="s">
        <v>90</v>
      </c>
      <c r="F2" t="s">
        <v>90</v>
      </c>
      <c r="G2" t="s">
        <v>322</v>
      </c>
      <c r="I2" t="s">
        <v>322</v>
      </c>
      <c r="J2" t="s">
        <v>323</v>
      </c>
      <c r="K2">
        <v>3.0000000000000001E-3</v>
      </c>
      <c r="L2">
        <v>1</v>
      </c>
      <c r="M2">
        <f>+foreground_occupation_file_index[[#This Row],[c_res]]*foreground_occupation_file_index[[#This Row],[c_crop]]</f>
        <v>3.0000000000000001E-3</v>
      </c>
    </row>
    <row r="3" spans="1:13" hidden="1" x14ac:dyDescent="0.35">
      <c r="A3" t="s">
        <v>325</v>
      </c>
      <c r="B3" t="s">
        <v>4</v>
      </c>
      <c r="C3" t="s">
        <v>407</v>
      </c>
      <c r="D3" t="s">
        <v>4</v>
      </c>
      <c r="E3" t="s">
        <v>90</v>
      </c>
      <c r="F3" t="s">
        <v>90</v>
      </c>
      <c r="G3" t="s">
        <v>322</v>
      </c>
      <c r="I3" t="s">
        <v>322</v>
      </c>
      <c r="J3" t="s">
        <v>323</v>
      </c>
      <c r="K3">
        <v>3.0000000000000001E-3</v>
      </c>
      <c r="L3">
        <v>1</v>
      </c>
      <c r="M3">
        <f>+foreground_occupation_file_index[[#This Row],[c_res]]*foreground_occupation_file_index[[#This Row],[c_crop]]</f>
        <v>3.0000000000000001E-3</v>
      </c>
    </row>
    <row r="4" spans="1:13" hidden="1" x14ac:dyDescent="0.35">
      <c r="A4" t="s">
        <v>326</v>
      </c>
      <c r="B4" t="s">
        <v>5</v>
      </c>
      <c r="C4" t="s">
        <v>408</v>
      </c>
      <c r="D4" t="s">
        <v>5</v>
      </c>
      <c r="E4" t="s">
        <v>90</v>
      </c>
      <c r="F4" t="s">
        <v>90</v>
      </c>
      <c r="G4" t="s">
        <v>322</v>
      </c>
      <c r="I4" t="s">
        <v>322</v>
      </c>
      <c r="J4" t="s">
        <v>323</v>
      </c>
      <c r="K4">
        <v>3.0000000000000001E-3</v>
      </c>
      <c r="L4">
        <v>1</v>
      </c>
      <c r="M4">
        <f>+foreground_occupation_file_index[[#This Row],[c_res]]*foreground_occupation_file_index[[#This Row],[c_crop]]</f>
        <v>3.0000000000000001E-3</v>
      </c>
    </row>
    <row r="5" spans="1:13" hidden="1" x14ac:dyDescent="0.35">
      <c r="A5" t="s">
        <v>327</v>
      </c>
      <c r="B5" t="s">
        <v>6</v>
      </c>
      <c r="C5" t="s">
        <v>409</v>
      </c>
      <c r="D5" t="s">
        <v>6</v>
      </c>
      <c r="E5" t="s">
        <v>90</v>
      </c>
      <c r="F5" t="s">
        <v>90</v>
      </c>
      <c r="G5" t="s">
        <v>322</v>
      </c>
      <c r="I5" t="s">
        <v>322</v>
      </c>
      <c r="J5" t="s">
        <v>323</v>
      </c>
      <c r="K5">
        <v>3.0000000000000001E-3</v>
      </c>
      <c r="L5">
        <v>1</v>
      </c>
      <c r="M5">
        <f>+foreground_occupation_file_index[[#This Row],[c_res]]*foreground_occupation_file_index[[#This Row],[c_crop]]</f>
        <v>3.0000000000000001E-3</v>
      </c>
    </row>
    <row r="6" spans="1:13" hidden="1" x14ac:dyDescent="0.35">
      <c r="A6" t="s">
        <v>328</v>
      </c>
      <c r="B6" t="s">
        <v>7</v>
      </c>
      <c r="C6" t="s">
        <v>410</v>
      </c>
      <c r="D6" t="s">
        <v>7</v>
      </c>
      <c r="E6" t="s">
        <v>90</v>
      </c>
      <c r="F6" t="s">
        <v>90</v>
      </c>
      <c r="G6" t="s">
        <v>322</v>
      </c>
      <c r="I6" t="s">
        <v>322</v>
      </c>
      <c r="J6" t="s">
        <v>323</v>
      </c>
      <c r="K6">
        <v>3.0000000000000001E-3</v>
      </c>
      <c r="L6">
        <v>1</v>
      </c>
      <c r="M6">
        <f>+foreground_occupation_file_index[[#This Row],[c_res]]*foreground_occupation_file_index[[#This Row],[c_crop]]</f>
        <v>3.0000000000000001E-3</v>
      </c>
    </row>
    <row r="7" spans="1:13" hidden="1" x14ac:dyDescent="0.35">
      <c r="A7" t="s">
        <v>329</v>
      </c>
      <c r="B7" t="s">
        <v>8</v>
      </c>
      <c r="C7" t="s">
        <v>411</v>
      </c>
      <c r="D7" t="s">
        <v>8</v>
      </c>
      <c r="E7" t="s">
        <v>90</v>
      </c>
      <c r="F7" t="s">
        <v>90</v>
      </c>
      <c r="G7" t="s">
        <v>322</v>
      </c>
      <c r="I7" t="s">
        <v>322</v>
      </c>
      <c r="J7" t="s">
        <v>323</v>
      </c>
      <c r="K7">
        <v>3.0000000000000001E-3</v>
      </c>
      <c r="L7">
        <v>1</v>
      </c>
      <c r="M7">
        <f>+foreground_occupation_file_index[[#This Row],[c_res]]*foreground_occupation_file_index[[#This Row],[c_crop]]</f>
        <v>3.0000000000000001E-3</v>
      </c>
    </row>
    <row r="8" spans="1:13" hidden="1" x14ac:dyDescent="0.35">
      <c r="A8" t="s">
        <v>330</v>
      </c>
      <c r="B8" t="s">
        <v>9</v>
      </c>
      <c r="C8" t="s">
        <v>412</v>
      </c>
      <c r="D8" t="s">
        <v>9</v>
      </c>
      <c r="E8" t="s">
        <v>90</v>
      </c>
      <c r="F8" t="s">
        <v>90</v>
      </c>
      <c r="G8" t="s">
        <v>322</v>
      </c>
      <c r="I8" t="s">
        <v>322</v>
      </c>
      <c r="J8" t="s">
        <v>323</v>
      </c>
      <c r="K8">
        <v>3.0000000000000001E-3</v>
      </c>
      <c r="L8">
        <v>1</v>
      </c>
      <c r="M8">
        <f>+foreground_occupation_file_index[[#This Row],[c_res]]*foreground_occupation_file_index[[#This Row],[c_crop]]</f>
        <v>3.0000000000000001E-3</v>
      </c>
    </row>
    <row r="9" spans="1:13" hidden="1" x14ac:dyDescent="0.35">
      <c r="A9" t="s">
        <v>331</v>
      </c>
      <c r="B9" t="s">
        <v>10</v>
      </c>
      <c r="C9" t="s">
        <v>413</v>
      </c>
      <c r="D9" t="s">
        <v>10</v>
      </c>
      <c r="E9" t="s">
        <v>90</v>
      </c>
      <c r="F9" t="s">
        <v>90</v>
      </c>
      <c r="G9" t="s">
        <v>322</v>
      </c>
      <c r="I9" t="s">
        <v>322</v>
      </c>
      <c r="J9" t="s">
        <v>323</v>
      </c>
      <c r="K9">
        <v>3.0000000000000001E-3</v>
      </c>
      <c r="L9">
        <v>1</v>
      </c>
      <c r="M9">
        <f>+foreground_occupation_file_index[[#This Row],[c_res]]*foreground_occupation_file_index[[#This Row],[c_crop]]</f>
        <v>3.0000000000000001E-3</v>
      </c>
    </row>
    <row r="10" spans="1:13" hidden="1" x14ac:dyDescent="0.35">
      <c r="A10" t="s">
        <v>332</v>
      </c>
      <c r="B10" t="s">
        <v>11</v>
      </c>
      <c r="C10" t="s">
        <v>414</v>
      </c>
      <c r="D10" t="s">
        <v>11</v>
      </c>
      <c r="E10" t="s">
        <v>90</v>
      </c>
      <c r="F10" t="s">
        <v>90</v>
      </c>
      <c r="G10" t="s">
        <v>11</v>
      </c>
      <c r="I10" t="s">
        <v>11</v>
      </c>
      <c r="J10" t="s">
        <v>323</v>
      </c>
      <c r="K10">
        <v>0.01</v>
      </c>
      <c r="L10">
        <v>1</v>
      </c>
      <c r="M10">
        <f>+foreground_occupation_file_index[[#This Row],[c_res]]*foreground_occupation_file_index[[#This Row],[c_crop]]</f>
        <v>0.01</v>
      </c>
    </row>
    <row r="11" spans="1:13" hidden="1" x14ac:dyDescent="0.35">
      <c r="A11" t="s">
        <v>333</v>
      </c>
      <c r="B11" t="s">
        <v>12</v>
      </c>
      <c r="C11" t="s">
        <v>415</v>
      </c>
      <c r="D11" t="s">
        <v>92</v>
      </c>
      <c r="E11" t="s">
        <v>87</v>
      </c>
      <c r="F11" t="s">
        <v>90</v>
      </c>
      <c r="G11" t="str">
        <f>+foreground_occupation_file_index[[#This Row],[crop_type]]&amp;"_crop"</f>
        <v>permanent_crop</v>
      </c>
      <c r="H11" t="s">
        <v>489</v>
      </c>
      <c r="I11" t="s">
        <v>307</v>
      </c>
      <c r="J11" t="s">
        <v>312</v>
      </c>
      <c r="K11">
        <v>0.15</v>
      </c>
      <c r="L11">
        <v>1</v>
      </c>
      <c r="M11">
        <f>+foreground_occupation_file_index[[#This Row],[c_res]]*foreground_occupation_file_index[[#This Row],[c_crop]]</f>
        <v>0.15</v>
      </c>
    </row>
    <row r="12" spans="1:13" hidden="1" x14ac:dyDescent="0.35">
      <c r="A12" t="s">
        <v>334</v>
      </c>
      <c r="B12" t="s">
        <v>13</v>
      </c>
      <c r="C12" t="s">
        <v>416</v>
      </c>
      <c r="D12" t="s">
        <v>93</v>
      </c>
      <c r="E12" t="s">
        <v>87</v>
      </c>
      <c r="F12" t="s">
        <v>90</v>
      </c>
      <c r="G12" t="str">
        <f>+foreground_occupation_file_index[[#This Row],[crop_type]]&amp;"_crop"</f>
        <v>permanent_crop</v>
      </c>
      <c r="H12" t="s">
        <v>489</v>
      </c>
      <c r="I12" t="s">
        <v>307</v>
      </c>
      <c r="J12" t="s">
        <v>312</v>
      </c>
      <c r="K12">
        <v>0.15</v>
      </c>
      <c r="L12">
        <v>1</v>
      </c>
      <c r="M12">
        <f>+foreground_occupation_file_index[[#This Row],[c_res]]*foreground_occupation_file_index[[#This Row],[c_crop]]</f>
        <v>0.15</v>
      </c>
    </row>
    <row r="13" spans="1:13" hidden="1" x14ac:dyDescent="0.35">
      <c r="A13" t="s">
        <v>335</v>
      </c>
      <c r="B13" t="s">
        <v>14</v>
      </c>
      <c r="C13" t="s">
        <v>417</v>
      </c>
      <c r="D13" t="s">
        <v>127</v>
      </c>
      <c r="E13" t="s">
        <v>87</v>
      </c>
      <c r="F13" t="s">
        <v>85</v>
      </c>
      <c r="G13" t="str">
        <f>+foreground_occupation_file_index[[#This Row],[crop_type]]&amp;"_crop"</f>
        <v>annual_crop</v>
      </c>
      <c r="H13" t="s">
        <v>490</v>
      </c>
      <c r="I13" t="s">
        <v>308</v>
      </c>
      <c r="J13" t="s">
        <v>312</v>
      </c>
      <c r="K13">
        <v>0.2</v>
      </c>
      <c r="L13">
        <f>1-0.12</f>
        <v>0.88</v>
      </c>
      <c r="M13">
        <f>+foreground_occupation_file_index[[#This Row],[c_res]]*foreground_occupation_file_index[[#This Row],[c_crop]]</f>
        <v>0.17600000000000002</v>
      </c>
    </row>
    <row r="14" spans="1:13" hidden="1" x14ac:dyDescent="0.35">
      <c r="A14" t="s">
        <v>336</v>
      </c>
      <c r="B14" t="s">
        <v>15</v>
      </c>
      <c r="C14" t="s">
        <v>418</v>
      </c>
      <c r="D14" t="s">
        <v>127</v>
      </c>
      <c r="E14" t="s">
        <v>87</v>
      </c>
      <c r="F14" t="s">
        <v>86</v>
      </c>
      <c r="G14" t="str">
        <f>+foreground_occupation_file_index[[#This Row],[crop_type]]&amp;"_crop"</f>
        <v>annual_crop</v>
      </c>
      <c r="H14" t="s">
        <v>490</v>
      </c>
      <c r="I14" t="s">
        <v>308</v>
      </c>
      <c r="J14" t="s">
        <v>312</v>
      </c>
      <c r="K14">
        <v>0.2</v>
      </c>
      <c r="L14">
        <v>1</v>
      </c>
      <c r="M14">
        <f>+foreground_occupation_file_index[[#This Row],[c_res]]*foreground_occupation_file_index[[#This Row],[c_crop]]</f>
        <v>0.2</v>
      </c>
    </row>
    <row r="15" spans="1:13" hidden="1" x14ac:dyDescent="0.35">
      <c r="A15" t="s">
        <v>337</v>
      </c>
      <c r="B15" t="s">
        <v>16</v>
      </c>
      <c r="C15" t="s">
        <v>419</v>
      </c>
      <c r="D15" t="s">
        <v>94</v>
      </c>
      <c r="E15" t="s">
        <v>87</v>
      </c>
      <c r="F15" t="s">
        <v>90</v>
      </c>
      <c r="G15" t="str">
        <f>+foreground_occupation_file_index[[#This Row],[crop_type]]&amp;"_crop"</f>
        <v>annual_crop</v>
      </c>
      <c r="H15" t="s">
        <v>490</v>
      </c>
      <c r="I15" t="s">
        <v>309</v>
      </c>
      <c r="J15" t="s">
        <v>312</v>
      </c>
      <c r="K15">
        <v>0.34</v>
      </c>
      <c r="L15">
        <v>1</v>
      </c>
      <c r="M15">
        <f>+foreground_occupation_file_index[[#This Row],[c_res]]*foreground_occupation_file_index[[#This Row],[c_crop]]</f>
        <v>0.34</v>
      </c>
    </row>
    <row r="16" spans="1:13" hidden="1" x14ac:dyDescent="0.35">
      <c r="A16" t="s">
        <v>338</v>
      </c>
      <c r="B16" t="s">
        <v>17</v>
      </c>
      <c r="C16" t="s">
        <v>420</v>
      </c>
      <c r="D16" t="s">
        <v>95</v>
      </c>
      <c r="E16" t="s">
        <v>87</v>
      </c>
      <c r="F16" t="s">
        <v>90</v>
      </c>
      <c r="G16" t="str">
        <f>+foreground_occupation_file_index[[#This Row],[crop_type]]&amp;"_crop"</f>
        <v>annual_crop</v>
      </c>
      <c r="H16" t="s">
        <v>490</v>
      </c>
      <c r="I16" t="s">
        <v>310</v>
      </c>
      <c r="J16" t="s">
        <v>312</v>
      </c>
      <c r="K16">
        <v>0.5</v>
      </c>
      <c r="L16">
        <v>1</v>
      </c>
      <c r="M16">
        <f>+foreground_occupation_file_index[[#This Row],[c_res]]*foreground_occupation_file_index[[#This Row],[c_crop]]</f>
        <v>0.5</v>
      </c>
    </row>
    <row r="17" spans="1:13" hidden="1" x14ac:dyDescent="0.35">
      <c r="A17" t="s">
        <v>339</v>
      </c>
      <c r="B17" t="s">
        <v>18</v>
      </c>
      <c r="C17" t="s">
        <v>421</v>
      </c>
      <c r="D17" t="s">
        <v>96</v>
      </c>
      <c r="E17" t="s">
        <v>87</v>
      </c>
      <c r="F17" t="s">
        <v>90</v>
      </c>
      <c r="G17" t="str">
        <f>+foreground_occupation_file_index[[#This Row],[crop_type]]&amp;"_crop"</f>
        <v>permanent_crop</v>
      </c>
      <c r="H17" t="s">
        <v>489</v>
      </c>
      <c r="I17" t="s">
        <v>307</v>
      </c>
      <c r="J17" t="s">
        <v>312</v>
      </c>
      <c r="K17">
        <v>0.15</v>
      </c>
      <c r="L17">
        <v>1</v>
      </c>
      <c r="M17">
        <f>+foreground_occupation_file_index[[#This Row],[c_res]]*foreground_occupation_file_index[[#This Row],[c_crop]]</f>
        <v>0.15</v>
      </c>
    </row>
    <row r="18" spans="1:13" hidden="1" x14ac:dyDescent="0.35">
      <c r="A18" t="s">
        <v>340</v>
      </c>
      <c r="B18" t="s">
        <v>19</v>
      </c>
      <c r="C18" t="s">
        <v>422</v>
      </c>
      <c r="D18" t="s">
        <v>97</v>
      </c>
      <c r="E18" t="s">
        <v>87</v>
      </c>
      <c r="F18" t="s">
        <v>90</v>
      </c>
      <c r="G18" t="str">
        <f>+foreground_occupation_file_index[[#This Row],[crop_type]]&amp;"_crop"</f>
        <v>permanent_crop</v>
      </c>
      <c r="H18" t="s">
        <v>489</v>
      </c>
      <c r="I18" t="s">
        <v>307</v>
      </c>
      <c r="J18" t="s">
        <v>312</v>
      </c>
      <c r="K18">
        <v>0.15</v>
      </c>
      <c r="L18">
        <v>1</v>
      </c>
      <c r="M18">
        <f>+foreground_occupation_file_index[[#This Row],[c_res]]*foreground_occupation_file_index[[#This Row],[c_crop]]</f>
        <v>0.15</v>
      </c>
    </row>
    <row r="19" spans="1:13" hidden="1" x14ac:dyDescent="0.35">
      <c r="A19" t="s">
        <v>341</v>
      </c>
      <c r="B19" t="s">
        <v>20</v>
      </c>
      <c r="C19" t="s">
        <v>423</v>
      </c>
      <c r="D19" t="s">
        <v>98</v>
      </c>
      <c r="E19" t="s">
        <v>87</v>
      </c>
      <c r="F19" t="s">
        <v>90</v>
      </c>
      <c r="G19" t="str">
        <f>+foreground_occupation_file_index[[#This Row],[crop_type]]&amp;"_crop"</f>
        <v>permanent_crop</v>
      </c>
      <c r="H19" t="s">
        <v>489</v>
      </c>
      <c r="I19" t="s">
        <v>98</v>
      </c>
      <c r="J19" t="s">
        <v>98</v>
      </c>
      <c r="K19">
        <v>0.2</v>
      </c>
      <c r="L19">
        <v>1</v>
      </c>
      <c r="M19">
        <f>+foreground_occupation_file_index[[#This Row],[c_res]]*foreground_occupation_file_index[[#This Row],[c_crop]]</f>
        <v>0.2</v>
      </c>
    </row>
    <row r="20" spans="1:13" hidden="1" x14ac:dyDescent="0.35">
      <c r="A20" t="s">
        <v>342</v>
      </c>
      <c r="B20" t="s">
        <v>21</v>
      </c>
      <c r="C20" t="s">
        <v>424</v>
      </c>
      <c r="D20" t="s">
        <v>311</v>
      </c>
      <c r="E20" t="s">
        <v>87</v>
      </c>
      <c r="F20" t="s">
        <v>90</v>
      </c>
      <c r="G20" t="str">
        <f>+foreground_occupation_file_index[[#This Row],[crop_type]]&amp;"_crop"</f>
        <v>annual_crop</v>
      </c>
      <c r="H20" t="s">
        <v>490</v>
      </c>
      <c r="I20" t="s">
        <v>311</v>
      </c>
      <c r="J20" t="s">
        <v>311</v>
      </c>
      <c r="K20">
        <v>0.4</v>
      </c>
      <c r="L20">
        <v>1</v>
      </c>
      <c r="M20">
        <f>+foreground_occupation_file_index[[#This Row],[c_res]]*foreground_occupation_file_index[[#This Row],[c_crop]]</f>
        <v>0.4</v>
      </c>
    </row>
    <row r="21" spans="1:13" hidden="1" x14ac:dyDescent="0.35">
      <c r="A21" t="s">
        <v>343</v>
      </c>
      <c r="B21" t="s">
        <v>22</v>
      </c>
      <c r="C21" t="s">
        <v>425</v>
      </c>
      <c r="D21" t="s">
        <v>100</v>
      </c>
      <c r="E21" t="s">
        <v>87</v>
      </c>
      <c r="F21" t="s">
        <v>90</v>
      </c>
      <c r="G21" t="str">
        <f>+foreground_occupation_file_index[[#This Row],[crop_type]]&amp;"_crop"</f>
        <v>permanent_crop</v>
      </c>
      <c r="H21" t="s">
        <v>489</v>
      </c>
      <c r="I21" t="s">
        <v>313</v>
      </c>
      <c r="J21" t="s">
        <v>100</v>
      </c>
      <c r="K21">
        <v>0.35</v>
      </c>
      <c r="L21">
        <v>1</v>
      </c>
      <c r="M21">
        <f>+foreground_occupation_file_index[[#This Row],[c_res]]*foreground_occupation_file_index[[#This Row],[c_crop]]</f>
        <v>0.35</v>
      </c>
    </row>
    <row r="22" spans="1:13" hidden="1" x14ac:dyDescent="0.35">
      <c r="A22" t="s">
        <v>344</v>
      </c>
      <c r="B22" t="s">
        <v>23</v>
      </c>
      <c r="C22" t="s">
        <v>426</v>
      </c>
      <c r="D22" t="s">
        <v>101</v>
      </c>
      <c r="E22" t="s">
        <v>87</v>
      </c>
      <c r="F22" t="s">
        <v>90</v>
      </c>
      <c r="G22" t="str">
        <f>+foreground_occupation_file_index[[#This Row],[crop_type]]&amp;"_crop"</f>
        <v>annual_crop</v>
      </c>
      <c r="H22" t="s">
        <v>490</v>
      </c>
      <c r="I22" t="s">
        <v>314</v>
      </c>
      <c r="J22" t="s">
        <v>312</v>
      </c>
      <c r="K22">
        <v>0.32</v>
      </c>
      <c r="L22">
        <v>1</v>
      </c>
      <c r="M22">
        <f>+foreground_occupation_file_index[[#This Row],[c_res]]*foreground_occupation_file_index[[#This Row],[c_crop]]</f>
        <v>0.32</v>
      </c>
    </row>
    <row r="23" spans="1:13" hidden="1" x14ac:dyDescent="0.35">
      <c r="A23" t="s">
        <v>345</v>
      </c>
      <c r="B23" t="s">
        <v>24</v>
      </c>
      <c r="C23" t="s">
        <v>427</v>
      </c>
      <c r="D23" t="s">
        <v>138</v>
      </c>
      <c r="E23" t="s">
        <v>87</v>
      </c>
      <c r="F23" t="s">
        <v>85</v>
      </c>
      <c r="G23" t="str">
        <f>+foreground_occupation_file_index[[#This Row],[crop_type]]&amp;"_crop"</f>
        <v>annual_crop</v>
      </c>
      <c r="H23" t="s">
        <v>490</v>
      </c>
      <c r="I23" t="s">
        <v>308</v>
      </c>
      <c r="J23" t="s">
        <v>138</v>
      </c>
      <c r="K23">
        <v>0.38</v>
      </c>
      <c r="L23">
        <f>1-0.12</f>
        <v>0.88</v>
      </c>
      <c r="M23">
        <f>+foreground_occupation_file_index[[#This Row],[c_res]]*foreground_occupation_file_index[[#This Row],[c_crop]]</f>
        <v>0.33440000000000003</v>
      </c>
    </row>
    <row r="24" spans="1:13" hidden="1" x14ac:dyDescent="0.35">
      <c r="A24" t="s">
        <v>346</v>
      </c>
      <c r="B24" t="s">
        <v>25</v>
      </c>
      <c r="C24" t="s">
        <v>428</v>
      </c>
      <c r="D24" t="s">
        <v>138</v>
      </c>
      <c r="E24" t="s">
        <v>87</v>
      </c>
      <c r="F24" t="s">
        <v>86</v>
      </c>
      <c r="G24" t="str">
        <f>+foreground_occupation_file_index[[#This Row],[crop_type]]&amp;"_crop"</f>
        <v>annual_crop</v>
      </c>
      <c r="H24" t="s">
        <v>490</v>
      </c>
      <c r="I24" t="s">
        <v>308</v>
      </c>
      <c r="J24" t="s">
        <v>138</v>
      </c>
      <c r="K24">
        <v>0.38</v>
      </c>
      <c r="L24">
        <v>1</v>
      </c>
      <c r="M24">
        <f>+foreground_occupation_file_index[[#This Row],[c_res]]*foreground_occupation_file_index[[#This Row],[c_crop]]</f>
        <v>0.38</v>
      </c>
    </row>
    <row r="25" spans="1:13" hidden="1" x14ac:dyDescent="0.35">
      <c r="A25" t="s">
        <v>347</v>
      </c>
      <c r="B25" t="s">
        <v>26</v>
      </c>
      <c r="C25" t="s">
        <v>429</v>
      </c>
      <c r="D25" t="s">
        <v>102</v>
      </c>
      <c r="E25" t="s">
        <v>87</v>
      </c>
      <c r="F25" t="s">
        <v>90</v>
      </c>
      <c r="G25" t="str">
        <f>+foreground_occupation_file_index[[#This Row],[crop_type]]&amp;"_crop"</f>
        <v>permanent_crop</v>
      </c>
      <c r="H25" t="s">
        <v>489</v>
      </c>
      <c r="I25" t="s">
        <v>307</v>
      </c>
      <c r="J25" t="s">
        <v>312</v>
      </c>
      <c r="K25">
        <v>0.15</v>
      </c>
      <c r="L25">
        <v>1</v>
      </c>
      <c r="M25">
        <f>+foreground_occupation_file_index[[#This Row],[c_res]]*foreground_occupation_file_index[[#This Row],[c_crop]]</f>
        <v>0.15</v>
      </c>
    </row>
    <row r="26" spans="1:13" hidden="1" x14ac:dyDescent="0.35">
      <c r="A26" t="s">
        <v>348</v>
      </c>
      <c r="B26" t="s">
        <v>27</v>
      </c>
      <c r="C26" t="s">
        <v>430</v>
      </c>
      <c r="D26" t="s">
        <v>103</v>
      </c>
      <c r="E26" t="s">
        <v>87</v>
      </c>
      <c r="F26" t="s">
        <v>90</v>
      </c>
      <c r="G26" t="str">
        <f>+foreground_occupation_file_index[[#This Row],[crop_type]]&amp;"_crop"</f>
        <v>permanent_crop</v>
      </c>
      <c r="H26" t="s">
        <v>489</v>
      </c>
      <c r="I26" t="s">
        <v>307</v>
      </c>
      <c r="J26" t="s">
        <v>312</v>
      </c>
      <c r="K26">
        <v>0.15</v>
      </c>
      <c r="L26">
        <v>1</v>
      </c>
      <c r="M26">
        <f>+foreground_occupation_file_index[[#This Row],[c_res]]*foreground_occupation_file_index[[#This Row],[c_crop]]</f>
        <v>0.15</v>
      </c>
    </row>
    <row r="27" spans="1:13" hidden="1" x14ac:dyDescent="0.35">
      <c r="A27" t="s">
        <v>349</v>
      </c>
      <c r="B27" t="s">
        <v>28</v>
      </c>
      <c r="C27" t="s">
        <v>431</v>
      </c>
      <c r="D27" t="s">
        <v>104</v>
      </c>
      <c r="E27" t="s">
        <v>87</v>
      </c>
      <c r="F27" t="s">
        <v>90</v>
      </c>
      <c r="G27" t="str">
        <f>+foreground_occupation_file_index[[#This Row],[crop_type]]&amp;"_crop"</f>
        <v>annual_crop</v>
      </c>
      <c r="H27" t="s">
        <v>490</v>
      </c>
      <c r="I27" t="s">
        <v>316</v>
      </c>
      <c r="J27" t="s">
        <v>312</v>
      </c>
      <c r="K27">
        <v>0.3</v>
      </c>
      <c r="L27">
        <v>1</v>
      </c>
      <c r="M27">
        <f>+foreground_occupation_file_index[[#This Row],[c_res]]*foreground_occupation_file_index[[#This Row],[c_crop]]</f>
        <v>0.3</v>
      </c>
    </row>
    <row r="28" spans="1:13" hidden="1" x14ac:dyDescent="0.35">
      <c r="A28" t="s">
        <v>350</v>
      </c>
      <c r="B28" t="s">
        <v>29</v>
      </c>
      <c r="C28" t="s">
        <v>432</v>
      </c>
      <c r="D28" t="s">
        <v>105</v>
      </c>
      <c r="E28" t="s">
        <v>87</v>
      </c>
      <c r="F28" t="s">
        <v>90</v>
      </c>
      <c r="G28" t="str">
        <f>+foreground_occupation_file_index[[#This Row],[crop_type]]&amp;"_crop"</f>
        <v>permanent_crop</v>
      </c>
      <c r="H28" t="s">
        <v>489</v>
      </c>
      <c r="I28" t="s">
        <v>307</v>
      </c>
      <c r="J28" t="s">
        <v>312</v>
      </c>
      <c r="K28">
        <v>0.15</v>
      </c>
      <c r="L28">
        <v>1</v>
      </c>
      <c r="M28">
        <f>+foreground_occupation_file_index[[#This Row],[c_res]]*foreground_occupation_file_index[[#This Row],[c_crop]]</f>
        <v>0.15</v>
      </c>
    </row>
    <row r="29" spans="1:13" hidden="1" x14ac:dyDescent="0.35">
      <c r="A29" t="s">
        <v>351</v>
      </c>
      <c r="B29" t="s">
        <v>30</v>
      </c>
      <c r="C29" t="s">
        <v>433</v>
      </c>
      <c r="D29" t="s">
        <v>106</v>
      </c>
      <c r="E29" t="s">
        <v>87</v>
      </c>
      <c r="F29" t="s">
        <v>90</v>
      </c>
      <c r="G29" t="str">
        <f>+foreground_occupation_file_index[[#This Row],[crop_type]]&amp;"_crop"</f>
        <v>annual_crop</v>
      </c>
      <c r="H29" t="s">
        <v>490</v>
      </c>
      <c r="I29" t="s">
        <v>310</v>
      </c>
      <c r="J29" t="s">
        <v>312</v>
      </c>
      <c r="K29">
        <v>0.5</v>
      </c>
      <c r="L29">
        <v>1</v>
      </c>
      <c r="M29">
        <f>+foreground_occupation_file_index[[#This Row],[c_res]]*foreground_occupation_file_index[[#This Row],[c_crop]]</f>
        <v>0.5</v>
      </c>
    </row>
    <row r="30" spans="1:13" hidden="1" x14ac:dyDescent="0.35">
      <c r="A30" t="s">
        <v>352</v>
      </c>
      <c r="B30" t="s">
        <v>31</v>
      </c>
      <c r="C30" t="s">
        <v>434</v>
      </c>
      <c r="D30" t="s">
        <v>217</v>
      </c>
      <c r="E30" t="s">
        <v>87</v>
      </c>
      <c r="F30" t="s">
        <v>85</v>
      </c>
      <c r="G30" t="str">
        <f>+foreground_occupation_file_index[[#This Row],[crop_type]]&amp;"_crop"</f>
        <v>annual_crop</v>
      </c>
      <c r="H30" t="s">
        <v>490</v>
      </c>
      <c r="I30" t="s">
        <v>317</v>
      </c>
      <c r="J30" t="s">
        <v>312</v>
      </c>
      <c r="K30">
        <v>0.25</v>
      </c>
      <c r="L30">
        <f>1-0.12</f>
        <v>0.88</v>
      </c>
      <c r="M30">
        <f>+foreground_occupation_file_index[[#This Row],[c_res]]*foreground_occupation_file_index[[#This Row],[c_crop]]</f>
        <v>0.22</v>
      </c>
    </row>
    <row r="31" spans="1:13" hidden="1" x14ac:dyDescent="0.35">
      <c r="A31" t="s">
        <v>353</v>
      </c>
      <c r="B31" t="s">
        <v>32</v>
      </c>
      <c r="C31" t="s">
        <v>435</v>
      </c>
      <c r="D31" t="s">
        <v>217</v>
      </c>
      <c r="E31" t="s">
        <v>87</v>
      </c>
      <c r="F31" t="s">
        <v>86</v>
      </c>
      <c r="G31" t="str">
        <f>+foreground_occupation_file_index[[#This Row],[crop_type]]&amp;"_crop"</f>
        <v>annual_crop</v>
      </c>
      <c r="H31" t="s">
        <v>490</v>
      </c>
      <c r="I31" t="s">
        <v>317</v>
      </c>
      <c r="J31" t="s">
        <v>312</v>
      </c>
      <c r="K31">
        <v>0.25</v>
      </c>
      <c r="L31">
        <v>1</v>
      </c>
      <c r="M31">
        <f>+foreground_occupation_file_index[[#This Row],[c_res]]*foreground_occupation_file_index[[#This Row],[c_crop]]</f>
        <v>0.25</v>
      </c>
    </row>
    <row r="32" spans="1:13" hidden="1" x14ac:dyDescent="0.35">
      <c r="A32" t="s">
        <v>354</v>
      </c>
      <c r="B32" t="s">
        <v>33</v>
      </c>
      <c r="C32" t="s">
        <v>436</v>
      </c>
      <c r="D32" t="s">
        <v>107</v>
      </c>
      <c r="E32" t="s">
        <v>87</v>
      </c>
      <c r="F32" t="s">
        <v>90</v>
      </c>
      <c r="G32" t="str">
        <f>+foreground_occupation_file_index[[#This Row],[crop_type]]&amp;"_crop"</f>
        <v>annual_crop</v>
      </c>
      <c r="H32" t="s">
        <v>490</v>
      </c>
      <c r="I32" t="s">
        <v>308</v>
      </c>
      <c r="J32" t="s">
        <v>107</v>
      </c>
      <c r="K32">
        <v>0.15</v>
      </c>
      <c r="L32">
        <v>1</v>
      </c>
      <c r="M32">
        <f>+foreground_occupation_file_index[[#This Row],[c_res]]*foreground_occupation_file_index[[#This Row],[c_crop]]</f>
        <v>0.15</v>
      </c>
    </row>
    <row r="33" spans="1:13" hidden="1" x14ac:dyDescent="0.35">
      <c r="A33" t="s">
        <v>355</v>
      </c>
      <c r="B33" t="s">
        <v>34</v>
      </c>
      <c r="C33" t="s">
        <v>437</v>
      </c>
      <c r="D33" t="s">
        <v>128</v>
      </c>
      <c r="E33" t="s">
        <v>87</v>
      </c>
      <c r="F33" t="s">
        <v>85</v>
      </c>
      <c r="G33" t="str">
        <f>+foreground_occupation_file_index[[#This Row],[crop_type]]&amp;"_crop"</f>
        <v>annual_crop</v>
      </c>
      <c r="H33" t="s">
        <v>490</v>
      </c>
      <c r="I33" t="s">
        <v>318</v>
      </c>
      <c r="J33" t="s">
        <v>319</v>
      </c>
      <c r="K33">
        <v>0.1</v>
      </c>
      <c r="L33">
        <f>1-0.12</f>
        <v>0.88</v>
      </c>
      <c r="M33">
        <f>+foreground_occupation_file_index[[#This Row],[c_res]]*foreground_occupation_file_index[[#This Row],[c_crop]]</f>
        <v>8.8000000000000009E-2</v>
      </c>
    </row>
    <row r="34" spans="1:13" hidden="1" x14ac:dyDescent="0.35">
      <c r="A34" t="s">
        <v>356</v>
      </c>
      <c r="B34" t="s">
        <v>35</v>
      </c>
      <c r="C34" t="s">
        <v>438</v>
      </c>
      <c r="D34" t="s">
        <v>128</v>
      </c>
      <c r="E34" t="s">
        <v>87</v>
      </c>
      <c r="F34" t="s">
        <v>86</v>
      </c>
      <c r="G34" t="str">
        <f>+foreground_occupation_file_index[[#This Row],[crop_type]]&amp;"_crop"</f>
        <v>annual_crop</v>
      </c>
      <c r="H34" t="s">
        <v>490</v>
      </c>
      <c r="I34" t="s">
        <v>318</v>
      </c>
      <c r="J34" t="s">
        <v>319</v>
      </c>
      <c r="K34">
        <v>0.1</v>
      </c>
      <c r="L34">
        <v>1</v>
      </c>
      <c r="M34">
        <f>+foreground_occupation_file_index[[#This Row],[c_res]]*foreground_occupation_file_index[[#This Row],[c_crop]]</f>
        <v>0.1</v>
      </c>
    </row>
    <row r="35" spans="1:13" hidden="1" x14ac:dyDescent="0.35">
      <c r="A35" t="s">
        <v>357</v>
      </c>
      <c r="B35" t="s">
        <v>36</v>
      </c>
      <c r="C35" t="s">
        <v>439</v>
      </c>
      <c r="D35" t="s">
        <v>108</v>
      </c>
      <c r="E35" t="s">
        <v>87</v>
      </c>
      <c r="F35" t="s">
        <v>90</v>
      </c>
      <c r="G35" t="str">
        <f>+foreground_occupation_file_index[[#This Row],[crop_type]]&amp;"_crop"</f>
        <v>annual_crop</v>
      </c>
      <c r="H35" t="s">
        <v>490</v>
      </c>
      <c r="I35" t="s">
        <v>314</v>
      </c>
      <c r="J35" t="s">
        <v>312</v>
      </c>
      <c r="K35">
        <v>0.32</v>
      </c>
      <c r="L35">
        <v>1</v>
      </c>
      <c r="M35">
        <f>+foreground_occupation_file_index[[#This Row],[c_res]]*foreground_occupation_file_index[[#This Row],[c_crop]]</f>
        <v>0.32</v>
      </c>
    </row>
    <row r="36" spans="1:13" hidden="1" x14ac:dyDescent="0.35">
      <c r="A36" t="s">
        <v>358</v>
      </c>
      <c r="B36" t="s">
        <v>37</v>
      </c>
      <c r="C36" t="s">
        <v>440</v>
      </c>
      <c r="D36" t="s">
        <v>109</v>
      </c>
      <c r="E36" t="s">
        <v>87</v>
      </c>
      <c r="F36" t="s">
        <v>90</v>
      </c>
      <c r="G36" t="str">
        <f>+foreground_occupation_file_index[[#This Row],[crop_type]]&amp;"_crop"</f>
        <v>annual_crop</v>
      </c>
      <c r="H36" t="s">
        <v>490</v>
      </c>
      <c r="I36" t="s">
        <v>310</v>
      </c>
      <c r="J36" t="s">
        <v>312</v>
      </c>
      <c r="K36">
        <v>0.5</v>
      </c>
      <c r="L36">
        <v>1</v>
      </c>
      <c r="M36">
        <f>+foreground_occupation_file_index[[#This Row],[c_res]]*foreground_occupation_file_index[[#This Row],[c_crop]]</f>
        <v>0.5</v>
      </c>
    </row>
    <row r="37" spans="1:13" hidden="1" x14ac:dyDescent="0.35">
      <c r="A37" t="s">
        <v>359</v>
      </c>
      <c r="B37" t="s">
        <v>38</v>
      </c>
      <c r="C37" t="s">
        <v>441</v>
      </c>
      <c r="D37" t="s">
        <v>110</v>
      </c>
      <c r="E37" t="s">
        <v>87</v>
      </c>
      <c r="F37" t="s">
        <v>90</v>
      </c>
      <c r="G37" t="str">
        <f>+foreground_occupation_file_index[[#This Row],[crop_type]]&amp;"_crop"</f>
        <v>permanent_crop</v>
      </c>
      <c r="H37" t="s">
        <v>489</v>
      </c>
      <c r="I37" t="s">
        <v>320</v>
      </c>
      <c r="J37" t="s">
        <v>320</v>
      </c>
      <c r="K37">
        <v>0.15</v>
      </c>
      <c r="L37">
        <v>1</v>
      </c>
      <c r="M37">
        <f>+foreground_occupation_file_index[[#This Row],[c_res]]*foreground_occupation_file_index[[#This Row],[c_crop]]</f>
        <v>0.15</v>
      </c>
    </row>
    <row r="38" spans="1:13" hidden="1" x14ac:dyDescent="0.35">
      <c r="A38" t="s">
        <v>360</v>
      </c>
      <c r="B38" t="s">
        <v>39</v>
      </c>
      <c r="C38" t="s">
        <v>442</v>
      </c>
      <c r="D38" t="s">
        <v>111</v>
      </c>
      <c r="E38" t="s">
        <v>87</v>
      </c>
      <c r="F38" t="s">
        <v>90</v>
      </c>
      <c r="G38" t="str">
        <f>+foreground_occupation_file_index[[#This Row],[crop_type]]&amp;"_crop"</f>
        <v>annual_crop</v>
      </c>
      <c r="H38" t="s">
        <v>490</v>
      </c>
      <c r="I38" t="s">
        <v>317</v>
      </c>
      <c r="J38" t="s">
        <v>312</v>
      </c>
      <c r="K38">
        <v>0.25</v>
      </c>
      <c r="L38">
        <v>1</v>
      </c>
      <c r="M38">
        <f>+foreground_occupation_file_index[[#This Row],[c_res]]*foreground_occupation_file_index[[#This Row],[c_crop]]</f>
        <v>0.25</v>
      </c>
    </row>
    <row r="39" spans="1:13" hidden="1" x14ac:dyDescent="0.35">
      <c r="A39" t="s">
        <v>361</v>
      </c>
      <c r="B39" t="s">
        <v>40</v>
      </c>
      <c r="C39" t="s">
        <v>443</v>
      </c>
      <c r="D39" t="s">
        <v>112</v>
      </c>
      <c r="E39" t="s">
        <v>87</v>
      </c>
      <c r="F39" t="s">
        <v>90</v>
      </c>
      <c r="G39" t="str">
        <f>+foreground_occupation_file_index[[#This Row],[crop_type]]&amp;"_crop"</f>
        <v>annual_crop</v>
      </c>
      <c r="H39" t="s">
        <v>490</v>
      </c>
      <c r="I39" t="s">
        <v>310</v>
      </c>
      <c r="J39" t="s">
        <v>312</v>
      </c>
      <c r="K39">
        <v>0.5</v>
      </c>
      <c r="L39">
        <v>1</v>
      </c>
      <c r="M39">
        <f>+foreground_occupation_file_index[[#This Row],[c_res]]*foreground_occupation_file_index[[#This Row],[c_crop]]</f>
        <v>0.5</v>
      </c>
    </row>
    <row r="40" spans="1:13" hidden="1" x14ac:dyDescent="0.35">
      <c r="A40" t="s">
        <v>362</v>
      </c>
      <c r="B40" t="s">
        <v>41</v>
      </c>
      <c r="C40" t="s">
        <v>444</v>
      </c>
      <c r="D40" t="s">
        <v>113</v>
      </c>
      <c r="E40" t="s">
        <v>87</v>
      </c>
      <c r="F40" t="s">
        <v>90</v>
      </c>
      <c r="G40" t="str">
        <f>+foreground_occupation_file_index[[#This Row],[crop_type]]&amp;"_crop"</f>
        <v>annual_crop</v>
      </c>
      <c r="H40" t="s">
        <v>490</v>
      </c>
      <c r="I40" t="s">
        <v>309</v>
      </c>
      <c r="J40" t="s">
        <v>113</v>
      </c>
      <c r="K40">
        <v>0.5</v>
      </c>
      <c r="L40">
        <v>1</v>
      </c>
      <c r="M40">
        <f>+foreground_occupation_file_index[[#This Row],[c_res]]*foreground_occupation_file_index[[#This Row],[c_crop]]</f>
        <v>0.5</v>
      </c>
    </row>
    <row r="41" spans="1:13" hidden="1" x14ac:dyDescent="0.35">
      <c r="A41" t="s">
        <v>363</v>
      </c>
      <c r="B41" t="s">
        <v>42</v>
      </c>
      <c r="C41" t="s">
        <v>445</v>
      </c>
      <c r="D41" t="s">
        <v>114</v>
      </c>
      <c r="E41" t="s">
        <v>87</v>
      </c>
      <c r="F41" t="s">
        <v>90</v>
      </c>
      <c r="G41" t="str">
        <f>+foreground_occupation_file_index[[#This Row],[crop_type]]&amp;"_crop"</f>
        <v>annual_crop</v>
      </c>
      <c r="H41" t="s">
        <v>490</v>
      </c>
      <c r="I41" t="s">
        <v>321</v>
      </c>
      <c r="J41" t="s">
        <v>312</v>
      </c>
      <c r="K41">
        <v>0.25</v>
      </c>
      <c r="L41">
        <v>1</v>
      </c>
      <c r="M41">
        <f>+foreground_occupation_file_index[[#This Row],[c_res]]*foreground_occupation_file_index[[#This Row],[c_crop]]</f>
        <v>0.25</v>
      </c>
    </row>
    <row r="42" spans="1:13" x14ac:dyDescent="0.35">
      <c r="A42" t="s">
        <v>364</v>
      </c>
      <c r="B42" t="s">
        <v>43</v>
      </c>
      <c r="C42" t="s">
        <v>446</v>
      </c>
      <c r="D42" t="s">
        <v>84</v>
      </c>
      <c r="E42" t="s">
        <v>87</v>
      </c>
      <c r="F42" t="s">
        <v>85</v>
      </c>
      <c r="G42" t="str">
        <f>+foreground_occupation_file_index[[#This Row],[crop_type]]&amp;"_crop"</f>
        <v>annual_crop</v>
      </c>
      <c r="H42" t="s">
        <v>490</v>
      </c>
      <c r="I42" t="s">
        <v>308</v>
      </c>
      <c r="J42" t="s">
        <v>312</v>
      </c>
      <c r="K42">
        <v>0.2</v>
      </c>
      <c r="L42">
        <f>1-0.12</f>
        <v>0.88</v>
      </c>
      <c r="M42">
        <f>+foreground_occupation_file_index[[#This Row],[c_res]]*foreground_occupation_file_index[[#This Row],[c_crop]]</f>
        <v>0.17600000000000002</v>
      </c>
    </row>
    <row r="43" spans="1:13" x14ac:dyDescent="0.35">
      <c r="A43" t="s">
        <v>365</v>
      </c>
      <c r="B43" t="s">
        <v>44</v>
      </c>
      <c r="C43" t="s">
        <v>447</v>
      </c>
      <c r="D43" t="s">
        <v>84</v>
      </c>
      <c r="E43" t="s">
        <v>87</v>
      </c>
      <c r="F43" t="s">
        <v>86</v>
      </c>
      <c r="G43" t="str">
        <f>+foreground_occupation_file_index[[#This Row],[crop_type]]&amp;"_crop"</f>
        <v>annual_crop</v>
      </c>
      <c r="H43" t="s">
        <v>490</v>
      </c>
      <c r="I43" t="s">
        <v>308</v>
      </c>
      <c r="J43" t="s">
        <v>312</v>
      </c>
      <c r="K43">
        <v>0.2</v>
      </c>
      <c r="L43">
        <v>1</v>
      </c>
      <c r="M43">
        <f>+foreground_occupation_file_index[[#This Row],[c_res]]*foreground_occupation_file_index[[#This Row],[c_crop]]</f>
        <v>0.2</v>
      </c>
    </row>
    <row r="44" spans="1:13" hidden="1" x14ac:dyDescent="0.35">
      <c r="A44" t="s">
        <v>366</v>
      </c>
      <c r="B44" t="s">
        <v>45</v>
      </c>
      <c r="C44" t="s">
        <v>448</v>
      </c>
      <c r="D44" t="s">
        <v>115</v>
      </c>
      <c r="E44" t="s">
        <v>90</v>
      </c>
      <c r="F44" t="s">
        <v>90</v>
      </c>
      <c r="G44" t="s">
        <v>322</v>
      </c>
      <c r="I44" t="s">
        <v>322</v>
      </c>
      <c r="J44" t="s">
        <v>323</v>
      </c>
      <c r="K44">
        <v>1E-4</v>
      </c>
      <c r="L44">
        <v>1</v>
      </c>
      <c r="M44">
        <f>+foreground_occupation_file_index[[#This Row],[c_res]]*foreground_occupation_file_index[[#This Row],[c_crop]]</f>
        <v>1E-4</v>
      </c>
    </row>
    <row r="45" spans="1:13" hidden="1" x14ac:dyDescent="0.35">
      <c r="A45" t="s">
        <v>367</v>
      </c>
      <c r="B45" t="s">
        <v>46</v>
      </c>
      <c r="C45" t="s">
        <v>449</v>
      </c>
      <c r="D45" t="s">
        <v>116</v>
      </c>
      <c r="E45" t="s">
        <v>90</v>
      </c>
      <c r="F45" t="s">
        <v>90</v>
      </c>
      <c r="G45" t="s">
        <v>322</v>
      </c>
      <c r="I45" t="s">
        <v>322</v>
      </c>
      <c r="J45" t="s">
        <v>323</v>
      </c>
      <c r="K45">
        <v>1E-4</v>
      </c>
      <c r="L45">
        <v>1</v>
      </c>
      <c r="M45">
        <f>+foreground_occupation_file_index[[#This Row],[c_res]]*foreground_occupation_file_index[[#This Row],[c_crop]]</f>
        <v>1E-4</v>
      </c>
    </row>
    <row r="46" spans="1:13" hidden="1" x14ac:dyDescent="0.35">
      <c r="A46" t="s">
        <v>368</v>
      </c>
      <c r="B46" t="s">
        <v>47</v>
      </c>
      <c r="C46" t="s">
        <v>450</v>
      </c>
      <c r="D46" t="s">
        <v>117</v>
      </c>
      <c r="E46" t="s">
        <v>90</v>
      </c>
      <c r="F46" t="s">
        <v>90</v>
      </c>
      <c r="G46" t="s">
        <v>322</v>
      </c>
      <c r="I46" t="s">
        <v>322</v>
      </c>
      <c r="J46" t="s">
        <v>323</v>
      </c>
      <c r="K46">
        <v>1E-4</v>
      </c>
      <c r="L46">
        <v>1</v>
      </c>
      <c r="M46">
        <f>+foreground_occupation_file_index[[#This Row],[c_res]]*foreground_occupation_file_index[[#This Row],[c_crop]]</f>
        <v>1E-4</v>
      </c>
    </row>
    <row r="47" spans="1:13" hidden="1" x14ac:dyDescent="0.35">
      <c r="A47" t="s">
        <v>369</v>
      </c>
      <c r="B47" t="s">
        <v>48</v>
      </c>
      <c r="C47" t="s">
        <v>451</v>
      </c>
      <c r="D47" t="s">
        <v>118</v>
      </c>
      <c r="E47" t="s">
        <v>90</v>
      </c>
      <c r="F47" t="s">
        <v>90</v>
      </c>
      <c r="G47" t="s">
        <v>322</v>
      </c>
      <c r="I47" t="s">
        <v>322</v>
      </c>
      <c r="J47" t="s">
        <v>323</v>
      </c>
      <c r="K47">
        <v>1E-4</v>
      </c>
      <c r="L47">
        <v>1</v>
      </c>
      <c r="M47">
        <f>+foreground_occupation_file_index[[#This Row],[c_res]]*foreground_occupation_file_index[[#This Row],[c_crop]]</f>
        <v>1E-4</v>
      </c>
    </row>
    <row r="48" spans="1:13" hidden="1" x14ac:dyDescent="0.35">
      <c r="A48" t="s">
        <v>370</v>
      </c>
      <c r="B48" t="s">
        <v>49</v>
      </c>
      <c r="C48" t="s">
        <v>452</v>
      </c>
      <c r="D48" t="s">
        <v>119</v>
      </c>
      <c r="E48" t="s">
        <v>90</v>
      </c>
      <c r="F48" t="s">
        <v>90</v>
      </c>
      <c r="G48" t="s">
        <v>322</v>
      </c>
      <c r="I48" t="s">
        <v>322</v>
      </c>
      <c r="J48" t="s">
        <v>323</v>
      </c>
      <c r="K48">
        <v>1E-4</v>
      </c>
      <c r="L48">
        <v>1</v>
      </c>
      <c r="M48">
        <f>+foreground_occupation_file_index[[#This Row],[c_res]]*foreground_occupation_file_index[[#This Row],[c_crop]]</f>
        <v>1E-4</v>
      </c>
    </row>
    <row r="49" spans="1:13" hidden="1" x14ac:dyDescent="0.35">
      <c r="A49" t="s">
        <v>371</v>
      </c>
      <c r="B49" t="s">
        <v>50</v>
      </c>
      <c r="C49" t="s">
        <v>453</v>
      </c>
      <c r="D49" t="s">
        <v>120</v>
      </c>
      <c r="E49" t="s">
        <v>90</v>
      </c>
      <c r="F49" t="s">
        <v>90</v>
      </c>
      <c r="G49" t="s">
        <v>322</v>
      </c>
      <c r="I49" t="s">
        <v>322</v>
      </c>
      <c r="J49" t="s">
        <v>323</v>
      </c>
      <c r="K49">
        <v>1E-4</v>
      </c>
      <c r="L49">
        <v>1</v>
      </c>
      <c r="M49">
        <f>+foreground_occupation_file_index[[#This Row],[c_res]]*foreground_occupation_file_index[[#This Row],[c_crop]]</f>
        <v>1E-4</v>
      </c>
    </row>
    <row r="50" spans="1:13" hidden="1" x14ac:dyDescent="0.35">
      <c r="A50" t="s">
        <v>372</v>
      </c>
      <c r="B50" t="s">
        <v>51</v>
      </c>
      <c r="C50" t="s">
        <v>454</v>
      </c>
      <c r="D50" t="s">
        <v>121</v>
      </c>
      <c r="E50" t="s">
        <v>90</v>
      </c>
      <c r="F50" t="s">
        <v>90</v>
      </c>
      <c r="G50" t="s">
        <v>322</v>
      </c>
      <c r="I50" t="s">
        <v>322</v>
      </c>
      <c r="J50" t="s">
        <v>323</v>
      </c>
      <c r="K50">
        <v>1E-4</v>
      </c>
      <c r="L50">
        <v>1</v>
      </c>
      <c r="M50">
        <f>+foreground_occupation_file_index[[#This Row],[c_res]]*foreground_occupation_file_index[[#This Row],[c_crop]]</f>
        <v>1E-4</v>
      </c>
    </row>
    <row r="51" spans="1:13" hidden="1" x14ac:dyDescent="0.35">
      <c r="A51" t="s">
        <v>373</v>
      </c>
      <c r="B51" t="s">
        <v>52</v>
      </c>
      <c r="C51" t="s">
        <v>455</v>
      </c>
      <c r="D51" t="s">
        <v>92</v>
      </c>
      <c r="E51" t="s">
        <v>91</v>
      </c>
      <c r="F51" t="s">
        <v>90</v>
      </c>
      <c r="G51" t="str">
        <f>+_xlfn.XLOOKUP($D51,$D$11:$D$43,G$11:G$43,"missing",0)</f>
        <v>permanent_crop</v>
      </c>
      <c r="H51" t="s">
        <v>489</v>
      </c>
      <c r="I51" t="str">
        <f>+_xlfn.XLOOKUP($D51,$D$11:$D$43,I$11:I$43,"missing",0)</f>
        <v>Fruit_Trees</v>
      </c>
      <c r="J51" t="str">
        <f t="shared" ref="J51:K66" si="0">+_xlfn.XLOOKUP($D51,$D$11:$D$43,J$11:J$43,"missing",0)</f>
        <v>Various</v>
      </c>
      <c r="K51">
        <f t="shared" si="0"/>
        <v>0.15</v>
      </c>
      <c r="L51">
        <v>1</v>
      </c>
      <c r="M51">
        <f>+foreground_occupation_file_index[[#This Row],[c_res]]*foreground_occupation_file_index[[#This Row],[c_crop]]</f>
        <v>0.15</v>
      </c>
    </row>
    <row r="52" spans="1:13" hidden="1" x14ac:dyDescent="0.35">
      <c r="A52" t="s">
        <v>374</v>
      </c>
      <c r="B52" t="s">
        <v>53</v>
      </c>
      <c r="C52" t="s">
        <v>456</v>
      </c>
      <c r="D52" t="s">
        <v>93</v>
      </c>
      <c r="E52" t="s">
        <v>91</v>
      </c>
      <c r="F52" t="s">
        <v>90</v>
      </c>
      <c r="G52" t="str">
        <f t="shared" ref="G52:K67" si="1">+_xlfn.XLOOKUP($D52,$D$11:$D$43,G$11:G$43,"missing",0)</f>
        <v>permanent_crop</v>
      </c>
      <c r="H52" t="s">
        <v>489</v>
      </c>
      <c r="I52" t="str">
        <f t="shared" si="1"/>
        <v>Fruit_Trees</v>
      </c>
      <c r="J52" t="str">
        <f t="shared" si="0"/>
        <v>Various</v>
      </c>
      <c r="K52">
        <f t="shared" si="0"/>
        <v>0.15</v>
      </c>
      <c r="L52">
        <v>1</v>
      </c>
      <c r="M52">
        <f>+foreground_occupation_file_index[[#This Row],[c_res]]*foreground_occupation_file_index[[#This Row],[c_crop]]</f>
        <v>0.15</v>
      </c>
    </row>
    <row r="53" spans="1:13" hidden="1" x14ac:dyDescent="0.35">
      <c r="A53" t="s">
        <v>375</v>
      </c>
      <c r="B53" t="s">
        <v>54</v>
      </c>
      <c r="C53" t="s">
        <v>457</v>
      </c>
      <c r="D53" t="s">
        <v>127</v>
      </c>
      <c r="E53" t="s">
        <v>91</v>
      </c>
      <c r="F53" t="s">
        <v>85</v>
      </c>
      <c r="G53" t="str">
        <f t="shared" si="1"/>
        <v>annual_crop</v>
      </c>
      <c r="H53" t="s">
        <v>490</v>
      </c>
      <c r="I53" t="str">
        <f t="shared" si="1"/>
        <v>Cereals</v>
      </c>
      <c r="J53" t="str">
        <f t="shared" si="0"/>
        <v>Various</v>
      </c>
      <c r="K53">
        <f t="shared" si="0"/>
        <v>0.2</v>
      </c>
      <c r="L53">
        <f>1-0.12</f>
        <v>0.88</v>
      </c>
      <c r="M53">
        <f>+foreground_occupation_file_index[[#This Row],[c_res]]*foreground_occupation_file_index[[#This Row],[c_crop]]</f>
        <v>0.17600000000000002</v>
      </c>
    </row>
    <row r="54" spans="1:13" hidden="1" x14ac:dyDescent="0.35">
      <c r="A54" t="s">
        <v>376</v>
      </c>
      <c r="B54" t="s">
        <v>55</v>
      </c>
      <c r="C54" t="s">
        <v>458</v>
      </c>
      <c r="D54" t="s">
        <v>127</v>
      </c>
      <c r="E54" t="s">
        <v>91</v>
      </c>
      <c r="F54" t="s">
        <v>86</v>
      </c>
      <c r="G54" t="str">
        <f t="shared" si="1"/>
        <v>annual_crop</v>
      </c>
      <c r="H54" t="s">
        <v>490</v>
      </c>
      <c r="I54" t="str">
        <f t="shared" si="1"/>
        <v>Cereals</v>
      </c>
      <c r="J54" t="str">
        <f t="shared" si="0"/>
        <v>Various</v>
      </c>
      <c r="K54">
        <f t="shared" si="0"/>
        <v>0.2</v>
      </c>
      <c r="L54">
        <v>1</v>
      </c>
      <c r="M54">
        <f>+foreground_occupation_file_index[[#This Row],[c_res]]*foreground_occupation_file_index[[#This Row],[c_crop]]</f>
        <v>0.2</v>
      </c>
    </row>
    <row r="55" spans="1:13" hidden="1" x14ac:dyDescent="0.35">
      <c r="A55" t="s">
        <v>377</v>
      </c>
      <c r="B55" t="s">
        <v>56</v>
      </c>
      <c r="C55" t="s">
        <v>459</v>
      </c>
      <c r="D55" t="s">
        <v>96</v>
      </c>
      <c r="E55" t="s">
        <v>91</v>
      </c>
      <c r="F55" t="s">
        <v>90</v>
      </c>
      <c r="G55" t="str">
        <f t="shared" si="1"/>
        <v>permanent_crop</v>
      </c>
      <c r="H55" t="s">
        <v>489</v>
      </c>
      <c r="I55" t="str">
        <f t="shared" si="1"/>
        <v>Fruit_Trees</v>
      </c>
      <c r="J55" t="str">
        <f t="shared" si="0"/>
        <v>Various</v>
      </c>
      <c r="K55">
        <f t="shared" si="0"/>
        <v>0.15</v>
      </c>
      <c r="L55">
        <v>1</v>
      </c>
      <c r="M55">
        <f>+foreground_occupation_file_index[[#This Row],[c_res]]*foreground_occupation_file_index[[#This Row],[c_crop]]</f>
        <v>0.15</v>
      </c>
    </row>
    <row r="56" spans="1:13" hidden="1" x14ac:dyDescent="0.35">
      <c r="A56" t="s">
        <v>378</v>
      </c>
      <c r="B56" t="s">
        <v>57</v>
      </c>
      <c r="C56" t="s">
        <v>460</v>
      </c>
      <c r="D56" t="s">
        <v>97</v>
      </c>
      <c r="E56" t="s">
        <v>91</v>
      </c>
      <c r="F56" t="s">
        <v>90</v>
      </c>
      <c r="G56" t="str">
        <f t="shared" si="1"/>
        <v>permanent_crop</v>
      </c>
      <c r="H56" t="s">
        <v>489</v>
      </c>
      <c r="I56" t="str">
        <f t="shared" si="1"/>
        <v>Fruit_Trees</v>
      </c>
      <c r="J56" t="str">
        <f t="shared" si="0"/>
        <v>Various</v>
      </c>
      <c r="K56">
        <f t="shared" si="0"/>
        <v>0.15</v>
      </c>
      <c r="L56">
        <v>1</v>
      </c>
      <c r="M56">
        <f>+foreground_occupation_file_index[[#This Row],[c_res]]*foreground_occupation_file_index[[#This Row],[c_crop]]</f>
        <v>0.15</v>
      </c>
    </row>
    <row r="57" spans="1:13" hidden="1" x14ac:dyDescent="0.35">
      <c r="A57" t="s">
        <v>379</v>
      </c>
      <c r="B57" t="s">
        <v>58</v>
      </c>
      <c r="C57" t="s">
        <v>461</v>
      </c>
      <c r="D57" t="s">
        <v>98</v>
      </c>
      <c r="E57" t="s">
        <v>91</v>
      </c>
      <c r="F57" t="s">
        <v>90</v>
      </c>
      <c r="G57" t="str">
        <f t="shared" si="1"/>
        <v>permanent_crop</v>
      </c>
      <c r="H57" t="s">
        <v>489</v>
      </c>
      <c r="I57" t="str">
        <f t="shared" si="1"/>
        <v>Coffee</v>
      </c>
      <c r="J57" t="str">
        <f t="shared" si="0"/>
        <v>Coffee</v>
      </c>
      <c r="K57">
        <f t="shared" si="0"/>
        <v>0.2</v>
      </c>
      <c r="L57">
        <v>1</v>
      </c>
      <c r="M57">
        <f>+foreground_occupation_file_index[[#This Row],[c_res]]*foreground_occupation_file_index[[#This Row],[c_crop]]</f>
        <v>0.2</v>
      </c>
    </row>
    <row r="58" spans="1:13" hidden="1" x14ac:dyDescent="0.35">
      <c r="A58" t="s">
        <v>380</v>
      </c>
      <c r="B58" t="s">
        <v>59</v>
      </c>
      <c r="C58" t="s">
        <v>462</v>
      </c>
      <c r="D58" t="s">
        <v>99</v>
      </c>
      <c r="E58" t="s">
        <v>91</v>
      </c>
      <c r="F58" t="s">
        <v>90</v>
      </c>
      <c r="G58" t="str">
        <f t="shared" si="1"/>
        <v>annual_crop</v>
      </c>
      <c r="H58" t="s">
        <v>490</v>
      </c>
      <c r="I58" t="str">
        <f t="shared" si="1"/>
        <v>Cotton</v>
      </c>
      <c r="J58" t="str">
        <f t="shared" si="0"/>
        <v>Cotton</v>
      </c>
      <c r="K58">
        <f t="shared" si="0"/>
        <v>0.4</v>
      </c>
      <c r="L58">
        <v>1</v>
      </c>
      <c r="M58">
        <f>+foreground_occupation_file_index[[#This Row],[c_res]]*foreground_occupation_file_index[[#This Row],[c_crop]]</f>
        <v>0.4</v>
      </c>
    </row>
    <row r="59" spans="1:13" hidden="1" x14ac:dyDescent="0.35">
      <c r="A59" t="s">
        <v>381</v>
      </c>
      <c r="B59" t="s">
        <v>60</v>
      </c>
      <c r="C59" t="s">
        <v>463</v>
      </c>
      <c r="D59" t="s">
        <v>100</v>
      </c>
      <c r="E59" t="s">
        <v>91</v>
      </c>
      <c r="F59" t="s">
        <v>90</v>
      </c>
      <c r="G59" t="str">
        <f t="shared" si="1"/>
        <v>permanent_crop</v>
      </c>
      <c r="H59" t="s">
        <v>489</v>
      </c>
      <c r="I59" t="str">
        <f t="shared" si="1"/>
        <v>GrapesAndHops</v>
      </c>
      <c r="J59" t="str">
        <f t="shared" si="0"/>
        <v>Grapes</v>
      </c>
      <c r="K59">
        <f>+_xlfn.XLOOKUP($D59,$D$11:$D$43,K$11:K$43,"missing",0)</f>
        <v>0.35</v>
      </c>
      <c r="L59">
        <v>1</v>
      </c>
      <c r="M59">
        <f>+foreground_occupation_file_index[[#This Row],[c_res]]*foreground_occupation_file_index[[#This Row],[c_crop]]</f>
        <v>0.35</v>
      </c>
    </row>
    <row r="60" spans="1:13" hidden="1" x14ac:dyDescent="0.35">
      <c r="A60" t="s">
        <v>382</v>
      </c>
      <c r="B60" t="s">
        <v>61</v>
      </c>
      <c r="C60" t="s">
        <v>464</v>
      </c>
      <c r="D60" t="s">
        <v>101</v>
      </c>
      <c r="E60" t="s">
        <v>91</v>
      </c>
      <c r="F60" t="s">
        <v>90</v>
      </c>
      <c r="G60" t="str">
        <f t="shared" si="1"/>
        <v>annual_crop</v>
      </c>
      <c r="H60" t="s">
        <v>490</v>
      </c>
      <c r="I60" t="str">
        <f t="shared" si="1"/>
        <v>Vegetables_Legume</v>
      </c>
      <c r="J60" t="str">
        <f t="shared" si="0"/>
        <v>Various</v>
      </c>
      <c r="K60">
        <f t="shared" si="0"/>
        <v>0.32</v>
      </c>
      <c r="L60">
        <v>1</v>
      </c>
      <c r="M60">
        <f>+foreground_occupation_file_index[[#This Row],[c_res]]*foreground_occupation_file_index[[#This Row],[c_crop]]</f>
        <v>0.32</v>
      </c>
    </row>
    <row r="61" spans="1:13" hidden="1" x14ac:dyDescent="0.35">
      <c r="A61" t="s">
        <v>383</v>
      </c>
      <c r="B61" t="s">
        <v>62</v>
      </c>
      <c r="C61" t="s">
        <v>465</v>
      </c>
      <c r="D61" t="s">
        <v>138</v>
      </c>
      <c r="E61" t="s">
        <v>91</v>
      </c>
      <c r="F61" t="s">
        <v>85</v>
      </c>
      <c r="G61" t="str">
        <f t="shared" si="1"/>
        <v>annual_crop</v>
      </c>
      <c r="H61" t="s">
        <v>490</v>
      </c>
      <c r="I61" t="str">
        <f t="shared" si="1"/>
        <v>Cereals</v>
      </c>
      <c r="J61" t="str">
        <f t="shared" si="0"/>
        <v>Maize</v>
      </c>
      <c r="K61">
        <f t="shared" si="0"/>
        <v>0.38</v>
      </c>
      <c r="L61">
        <f>1-0.12</f>
        <v>0.88</v>
      </c>
      <c r="M61">
        <f>+foreground_occupation_file_index[[#This Row],[c_res]]*foreground_occupation_file_index[[#This Row],[c_crop]]</f>
        <v>0.33440000000000003</v>
      </c>
    </row>
    <row r="62" spans="1:13" hidden="1" x14ac:dyDescent="0.35">
      <c r="A62" t="s">
        <v>384</v>
      </c>
      <c r="B62" t="s">
        <v>63</v>
      </c>
      <c r="C62" t="s">
        <v>466</v>
      </c>
      <c r="D62" t="s">
        <v>138</v>
      </c>
      <c r="E62" t="s">
        <v>91</v>
      </c>
      <c r="F62" t="s">
        <v>86</v>
      </c>
      <c r="G62" t="str">
        <f t="shared" si="1"/>
        <v>annual_crop</v>
      </c>
      <c r="H62" t="s">
        <v>490</v>
      </c>
      <c r="I62" t="str">
        <f t="shared" si="1"/>
        <v>Cereals</v>
      </c>
      <c r="J62" t="str">
        <f t="shared" si="0"/>
        <v>Maize</v>
      </c>
      <c r="K62">
        <f t="shared" si="0"/>
        <v>0.38</v>
      </c>
      <c r="L62">
        <v>1</v>
      </c>
      <c r="M62">
        <f>+foreground_occupation_file_index[[#This Row],[c_res]]*foreground_occupation_file_index[[#This Row],[c_crop]]</f>
        <v>0.38</v>
      </c>
    </row>
    <row r="63" spans="1:13" hidden="1" x14ac:dyDescent="0.35">
      <c r="A63" t="s">
        <v>385</v>
      </c>
      <c r="B63" t="s">
        <v>64</v>
      </c>
      <c r="C63" t="s">
        <v>467</v>
      </c>
      <c r="D63" t="s">
        <v>102</v>
      </c>
      <c r="E63" t="s">
        <v>91</v>
      </c>
      <c r="F63" t="s">
        <v>90</v>
      </c>
      <c r="G63" t="str">
        <f t="shared" si="1"/>
        <v>permanent_crop</v>
      </c>
      <c r="H63" t="s">
        <v>489</v>
      </c>
      <c r="I63" t="str">
        <f t="shared" si="1"/>
        <v>Fruit_Trees</v>
      </c>
      <c r="J63" t="str">
        <f t="shared" si="0"/>
        <v>Various</v>
      </c>
      <c r="K63">
        <f t="shared" si="0"/>
        <v>0.15</v>
      </c>
      <c r="L63">
        <v>1</v>
      </c>
      <c r="M63">
        <f>+foreground_occupation_file_index[[#This Row],[c_res]]*foreground_occupation_file_index[[#This Row],[c_crop]]</f>
        <v>0.15</v>
      </c>
    </row>
    <row r="64" spans="1:13" hidden="1" x14ac:dyDescent="0.35">
      <c r="A64" t="s">
        <v>386</v>
      </c>
      <c r="B64" t="s">
        <v>65</v>
      </c>
      <c r="C64" t="s">
        <v>468</v>
      </c>
      <c r="D64" t="s">
        <v>103</v>
      </c>
      <c r="E64" t="s">
        <v>91</v>
      </c>
      <c r="F64" t="s">
        <v>90</v>
      </c>
      <c r="G64" t="str">
        <f t="shared" si="1"/>
        <v>permanent_crop</v>
      </c>
      <c r="H64" t="s">
        <v>489</v>
      </c>
      <c r="I64" t="str">
        <f t="shared" si="1"/>
        <v>Fruit_Trees</v>
      </c>
      <c r="J64" t="str">
        <f t="shared" si="0"/>
        <v>Various</v>
      </c>
      <c r="K64">
        <f t="shared" si="0"/>
        <v>0.15</v>
      </c>
      <c r="L64">
        <v>1</v>
      </c>
      <c r="M64">
        <f>+foreground_occupation_file_index[[#This Row],[c_res]]*foreground_occupation_file_index[[#This Row],[c_crop]]</f>
        <v>0.15</v>
      </c>
    </row>
    <row r="65" spans="1:13" hidden="1" x14ac:dyDescent="0.35">
      <c r="A65" t="s">
        <v>387</v>
      </c>
      <c r="B65" t="s">
        <v>66</v>
      </c>
      <c r="C65" t="s">
        <v>469</v>
      </c>
      <c r="D65" t="s">
        <v>105</v>
      </c>
      <c r="E65" t="s">
        <v>91</v>
      </c>
      <c r="F65" t="s">
        <v>90</v>
      </c>
      <c r="G65" t="str">
        <f t="shared" si="1"/>
        <v>permanent_crop</v>
      </c>
      <c r="H65" t="s">
        <v>489</v>
      </c>
      <c r="I65" t="str">
        <f t="shared" si="1"/>
        <v>Fruit_Trees</v>
      </c>
      <c r="J65" t="str">
        <f t="shared" si="0"/>
        <v>Various</v>
      </c>
      <c r="K65">
        <f t="shared" si="0"/>
        <v>0.15</v>
      </c>
      <c r="L65">
        <v>1</v>
      </c>
      <c r="M65">
        <f>+foreground_occupation_file_index[[#This Row],[c_res]]*foreground_occupation_file_index[[#This Row],[c_crop]]</f>
        <v>0.15</v>
      </c>
    </row>
    <row r="66" spans="1:13" hidden="1" x14ac:dyDescent="0.35">
      <c r="A66" t="s">
        <v>388</v>
      </c>
      <c r="B66" t="s">
        <v>67</v>
      </c>
      <c r="C66" t="s">
        <v>470</v>
      </c>
      <c r="D66" t="s">
        <v>106</v>
      </c>
      <c r="E66" t="s">
        <v>91</v>
      </c>
      <c r="F66" t="s">
        <v>90</v>
      </c>
      <c r="G66" t="str">
        <f t="shared" si="1"/>
        <v>annual_crop</v>
      </c>
      <c r="H66" t="s">
        <v>490</v>
      </c>
      <c r="I66" t="str">
        <f t="shared" si="1"/>
        <v>Vegetables_RootandTuber</v>
      </c>
      <c r="J66" t="str">
        <f t="shared" si="0"/>
        <v>Various</v>
      </c>
      <c r="K66">
        <f t="shared" si="0"/>
        <v>0.5</v>
      </c>
      <c r="L66">
        <v>1</v>
      </c>
      <c r="M66">
        <f>+foreground_occupation_file_index[[#This Row],[c_res]]*foreground_occupation_file_index[[#This Row],[c_crop]]</f>
        <v>0.5</v>
      </c>
    </row>
    <row r="67" spans="1:13" hidden="1" x14ac:dyDescent="0.35">
      <c r="A67" t="s">
        <v>389</v>
      </c>
      <c r="B67" t="s">
        <v>68</v>
      </c>
      <c r="C67" t="s">
        <v>471</v>
      </c>
      <c r="D67" t="s">
        <v>217</v>
      </c>
      <c r="E67" t="s">
        <v>91</v>
      </c>
      <c r="F67" t="s">
        <v>85</v>
      </c>
      <c r="G67" t="str">
        <f t="shared" si="1"/>
        <v>annual_crop</v>
      </c>
      <c r="H67" t="s">
        <v>490</v>
      </c>
      <c r="I67" t="str">
        <f t="shared" si="1"/>
        <v>Oilseed</v>
      </c>
      <c r="J67" t="str">
        <f t="shared" si="1"/>
        <v>Various</v>
      </c>
      <c r="K67">
        <f t="shared" si="1"/>
        <v>0.25</v>
      </c>
      <c r="L67">
        <f>1-0.12</f>
        <v>0.88</v>
      </c>
      <c r="M67">
        <f>+foreground_occupation_file_index[[#This Row],[c_res]]*foreground_occupation_file_index[[#This Row],[c_crop]]</f>
        <v>0.22</v>
      </c>
    </row>
    <row r="68" spans="1:13" hidden="1" x14ac:dyDescent="0.35">
      <c r="A68" t="s">
        <v>390</v>
      </c>
      <c r="B68" t="s">
        <v>69</v>
      </c>
      <c r="C68" t="s">
        <v>472</v>
      </c>
      <c r="D68" t="s">
        <v>217</v>
      </c>
      <c r="E68" t="s">
        <v>91</v>
      </c>
      <c r="F68" t="s">
        <v>86</v>
      </c>
      <c r="G68" t="str">
        <f t="shared" ref="G68:K81" si="2">+_xlfn.XLOOKUP($D68,$D$11:$D$43,G$11:G$43,"missing",0)</f>
        <v>annual_crop</v>
      </c>
      <c r="H68" t="s">
        <v>490</v>
      </c>
      <c r="I68" t="str">
        <f t="shared" si="2"/>
        <v>Oilseed</v>
      </c>
      <c r="J68" t="str">
        <f t="shared" si="2"/>
        <v>Various</v>
      </c>
      <c r="K68">
        <f t="shared" si="2"/>
        <v>0.25</v>
      </c>
      <c r="L68">
        <v>1</v>
      </c>
      <c r="M68">
        <f>+foreground_occupation_file_index[[#This Row],[c_res]]*foreground_occupation_file_index[[#This Row],[c_crop]]</f>
        <v>0.25</v>
      </c>
    </row>
    <row r="69" spans="1:13" hidden="1" x14ac:dyDescent="0.35">
      <c r="A69" t="s">
        <v>391</v>
      </c>
      <c r="B69" t="s">
        <v>70</v>
      </c>
      <c r="C69" t="s">
        <v>473</v>
      </c>
      <c r="D69" t="s">
        <v>107</v>
      </c>
      <c r="E69" t="s">
        <v>91</v>
      </c>
      <c r="F69" t="s">
        <v>90</v>
      </c>
      <c r="G69" t="str">
        <f t="shared" si="2"/>
        <v>annual_crop</v>
      </c>
      <c r="H69" t="s">
        <v>490</v>
      </c>
      <c r="I69" t="str">
        <f t="shared" si="2"/>
        <v>Cereals</v>
      </c>
      <c r="J69" t="str">
        <f t="shared" si="2"/>
        <v>Rice</v>
      </c>
      <c r="K69">
        <f t="shared" si="2"/>
        <v>0.15</v>
      </c>
      <c r="L69">
        <v>1</v>
      </c>
      <c r="M69">
        <f>+foreground_occupation_file_index[[#This Row],[c_res]]*foreground_occupation_file_index[[#This Row],[c_crop]]</f>
        <v>0.15</v>
      </c>
    </row>
    <row r="70" spans="1:13" hidden="1" x14ac:dyDescent="0.35">
      <c r="A70" t="s">
        <v>392</v>
      </c>
      <c r="B70" t="s">
        <v>71</v>
      </c>
      <c r="C70" t="s">
        <v>474</v>
      </c>
      <c r="D70" t="s">
        <v>128</v>
      </c>
      <c r="E70" t="s">
        <v>91</v>
      </c>
      <c r="F70" t="s">
        <v>85</v>
      </c>
      <c r="G70" t="str">
        <f t="shared" si="2"/>
        <v>annual_crop</v>
      </c>
      <c r="H70" t="s">
        <v>490</v>
      </c>
      <c r="I70" t="str">
        <f t="shared" si="2"/>
        <v xml:space="preserve">Forage_Fodder_StrawOfCereal </v>
      </c>
      <c r="J70" t="str">
        <f t="shared" si="2"/>
        <v>Mixed_Grasses</v>
      </c>
      <c r="K70">
        <f t="shared" si="2"/>
        <v>0.1</v>
      </c>
      <c r="L70">
        <f>1-0.12</f>
        <v>0.88</v>
      </c>
      <c r="M70">
        <f>+foreground_occupation_file_index[[#This Row],[c_res]]*foreground_occupation_file_index[[#This Row],[c_crop]]</f>
        <v>8.8000000000000009E-2</v>
      </c>
    </row>
    <row r="71" spans="1:13" hidden="1" x14ac:dyDescent="0.35">
      <c r="A71" t="s">
        <v>393</v>
      </c>
      <c r="B71" t="s">
        <v>72</v>
      </c>
      <c r="C71" t="s">
        <v>475</v>
      </c>
      <c r="D71" t="s">
        <v>128</v>
      </c>
      <c r="E71" t="s">
        <v>91</v>
      </c>
      <c r="F71" t="s">
        <v>86</v>
      </c>
      <c r="G71" t="str">
        <f t="shared" si="2"/>
        <v>annual_crop</v>
      </c>
      <c r="H71" t="s">
        <v>490</v>
      </c>
      <c r="I71" t="str">
        <f t="shared" si="2"/>
        <v xml:space="preserve">Forage_Fodder_StrawOfCereal </v>
      </c>
      <c r="J71" t="str">
        <f t="shared" si="2"/>
        <v>Mixed_Grasses</v>
      </c>
      <c r="K71">
        <f t="shared" si="2"/>
        <v>0.1</v>
      </c>
      <c r="L71">
        <v>1</v>
      </c>
      <c r="M71">
        <f>+foreground_occupation_file_index[[#This Row],[c_res]]*foreground_occupation_file_index[[#This Row],[c_crop]]</f>
        <v>0.1</v>
      </c>
    </row>
    <row r="72" spans="1:13" hidden="1" x14ac:dyDescent="0.35">
      <c r="A72" t="s">
        <v>394</v>
      </c>
      <c r="B72" t="s">
        <v>73</v>
      </c>
      <c r="C72" t="s">
        <v>476</v>
      </c>
      <c r="D72" t="s">
        <v>108</v>
      </c>
      <c r="E72" t="s">
        <v>91</v>
      </c>
      <c r="F72" t="s">
        <v>90</v>
      </c>
      <c r="G72" t="str">
        <f t="shared" si="2"/>
        <v>annual_crop</v>
      </c>
      <c r="H72" t="s">
        <v>490</v>
      </c>
      <c r="I72" t="str">
        <f t="shared" si="2"/>
        <v>Vegetables_Legume</v>
      </c>
      <c r="J72" t="str">
        <f t="shared" si="2"/>
        <v>Various</v>
      </c>
      <c r="K72">
        <f t="shared" si="2"/>
        <v>0.32</v>
      </c>
      <c r="L72">
        <v>1</v>
      </c>
      <c r="M72">
        <f>+foreground_occupation_file_index[[#This Row],[c_res]]*foreground_occupation_file_index[[#This Row],[c_crop]]</f>
        <v>0.32</v>
      </c>
    </row>
    <row r="73" spans="1:13" hidden="1" x14ac:dyDescent="0.35">
      <c r="A73" t="s">
        <v>395</v>
      </c>
      <c r="B73" t="s">
        <v>74</v>
      </c>
      <c r="C73" t="s">
        <v>477</v>
      </c>
      <c r="D73" t="s">
        <v>109</v>
      </c>
      <c r="E73" t="s">
        <v>91</v>
      </c>
      <c r="F73" t="s">
        <v>90</v>
      </c>
      <c r="G73" t="str">
        <f t="shared" si="2"/>
        <v>annual_crop</v>
      </c>
      <c r="H73" t="s">
        <v>490</v>
      </c>
      <c r="I73" t="str">
        <f t="shared" si="2"/>
        <v>Vegetables_RootandTuber</v>
      </c>
      <c r="J73" t="str">
        <f t="shared" si="2"/>
        <v>Various</v>
      </c>
      <c r="K73">
        <f t="shared" si="2"/>
        <v>0.5</v>
      </c>
      <c r="L73">
        <v>1</v>
      </c>
      <c r="M73">
        <f>+foreground_occupation_file_index[[#This Row],[c_res]]*foreground_occupation_file_index[[#This Row],[c_crop]]</f>
        <v>0.5</v>
      </c>
    </row>
    <row r="74" spans="1:13" hidden="1" x14ac:dyDescent="0.35">
      <c r="A74" t="s">
        <v>396</v>
      </c>
      <c r="B74" t="s">
        <v>75</v>
      </c>
      <c r="C74" t="s">
        <v>478</v>
      </c>
      <c r="D74" t="s">
        <v>110</v>
      </c>
      <c r="E74" t="s">
        <v>91</v>
      </c>
      <c r="F74" t="s">
        <v>90</v>
      </c>
      <c r="G74" t="str">
        <f t="shared" si="2"/>
        <v>permanent_crop</v>
      </c>
      <c r="H74" t="s">
        <v>489</v>
      </c>
      <c r="I74" t="str">
        <f t="shared" si="2"/>
        <v>Shrub_Herbs_and_Spices</v>
      </c>
      <c r="J74" t="str">
        <f t="shared" si="2"/>
        <v>Shrub_Herbs_and_Spices</v>
      </c>
      <c r="K74">
        <f t="shared" si="2"/>
        <v>0.15</v>
      </c>
      <c r="L74">
        <v>1</v>
      </c>
      <c r="M74">
        <f>+foreground_occupation_file_index[[#This Row],[c_res]]*foreground_occupation_file_index[[#This Row],[c_crop]]</f>
        <v>0.15</v>
      </c>
    </row>
    <row r="75" spans="1:13" hidden="1" x14ac:dyDescent="0.35">
      <c r="A75" t="s">
        <v>397</v>
      </c>
      <c r="B75" t="s">
        <v>76</v>
      </c>
      <c r="C75" t="s">
        <v>479</v>
      </c>
      <c r="D75" t="s">
        <v>111</v>
      </c>
      <c r="E75" t="s">
        <v>91</v>
      </c>
      <c r="F75" t="s">
        <v>90</v>
      </c>
      <c r="G75" t="str">
        <f t="shared" si="2"/>
        <v>annual_crop</v>
      </c>
      <c r="H75" t="s">
        <v>490</v>
      </c>
      <c r="I75" t="str">
        <f t="shared" si="2"/>
        <v>Oilseed</v>
      </c>
      <c r="J75" t="str">
        <f t="shared" si="2"/>
        <v>Various</v>
      </c>
      <c r="K75">
        <f t="shared" si="2"/>
        <v>0.25</v>
      </c>
      <c r="L75">
        <v>1</v>
      </c>
      <c r="M75">
        <f>+foreground_occupation_file_index[[#This Row],[c_res]]*foreground_occupation_file_index[[#This Row],[c_crop]]</f>
        <v>0.25</v>
      </c>
    </row>
    <row r="76" spans="1:13" hidden="1" x14ac:dyDescent="0.35">
      <c r="A76" t="s">
        <v>398</v>
      </c>
      <c r="B76" t="s">
        <v>77</v>
      </c>
      <c r="C76" t="s">
        <v>480</v>
      </c>
      <c r="D76" t="s">
        <v>112</v>
      </c>
      <c r="E76" t="s">
        <v>91</v>
      </c>
      <c r="F76" t="s">
        <v>90</v>
      </c>
      <c r="G76" t="str">
        <f t="shared" si="2"/>
        <v>annual_crop</v>
      </c>
      <c r="H76" t="s">
        <v>490</v>
      </c>
      <c r="I76" t="str">
        <f t="shared" si="2"/>
        <v>Vegetables_RootandTuber</v>
      </c>
      <c r="J76" t="str">
        <f t="shared" si="2"/>
        <v>Various</v>
      </c>
      <c r="K76">
        <f t="shared" si="2"/>
        <v>0.5</v>
      </c>
      <c r="L76">
        <v>1</v>
      </c>
      <c r="M76">
        <f>+foreground_occupation_file_index[[#This Row],[c_res]]*foreground_occupation_file_index[[#This Row],[c_crop]]</f>
        <v>0.5</v>
      </c>
    </row>
    <row r="77" spans="1:13" hidden="1" x14ac:dyDescent="0.35">
      <c r="A77" t="s">
        <v>399</v>
      </c>
      <c r="B77" t="s">
        <v>78</v>
      </c>
      <c r="C77" t="s">
        <v>481</v>
      </c>
      <c r="D77" t="s">
        <v>113</v>
      </c>
      <c r="E77" t="s">
        <v>91</v>
      </c>
      <c r="F77" t="s">
        <v>90</v>
      </c>
      <c r="G77" t="str">
        <f t="shared" si="2"/>
        <v>annual_crop</v>
      </c>
      <c r="H77" t="s">
        <v>490</v>
      </c>
      <c r="I77" t="str">
        <f t="shared" si="2"/>
        <v>Vegetables_Leafy</v>
      </c>
      <c r="J77" t="str">
        <f t="shared" si="2"/>
        <v>Tobacco</v>
      </c>
      <c r="K77">
        <f t="shared" si="2"/>
        <v>0.5</v>
      </c>
      <c r="L77">
        <v>1</v>
      </c>
      <c r="M77">
        <f>+foreground_occupation_file_index[[#This Row],[c_res]]*foreground_occupation_file_index[[#This Row],[c_crop]]</f>
        <v>0.5</v>
      </c>
    </row>
    <row r="78" spans="1:13" hidden="1" x14ac:dyDescent="0.35">
      <c r="A78" t="s">
        <v>400</v>
      </c>
      <c r="B78" t="s">
        <v>79</v>
      </c>
      <c r="C78" t="s">
        <v>482</v>
      </c>
      <c r="D78" t="s">
        <v>114</v>
      </c>
      <c r="E78" t="s">
        <v>91</v>
      </c>
      <c r="F78" t="s">
        <v>90</v>
      </c>
      <c r="G78" t="str">
        <f t="shared" si="2"/>
        <v>annual_crop</v>
      </c>
      <c r="H78" t="s">
        <v>490</v>
      </c>
      <c r="I78" t="str">
        <f t="shared" si="2"/>
        <v>Vegetables_Fruiting</v>
      </c>
      <c r="J78" t="str">
        <f t="shared" si="2"/>
        <v>Various</v>
      </c>
      <c r="K78">
        <f t="shared" si="2"/>
        <v>0.25</v>
      </c>
      <c r="L78">
        <v>1</v>
      </c>
      <c r="M78">
        <f>+foreground_occupation_file_index[[#This Row],[c_res]]*foreground_occupation_file_index[[#This Row],[c_crop]]</f>
        <v>0.25</v>
      </c>
    </row>
    <row r="79" spans="1:13" x14ac:dyDescent="0.35">
      <c r="A79" t="s">
        <v>401</v>
      </c>
      <c r="B79" t="s">
        <v>80</v>
      </c>
      <c r="C79" t="s">
        <v>483</v>
      </c>
      <c r="D79" t="s">
        <v>84</v>
      </c>
      <c r="E79" t="s">
        <v>91</v>
      </c>
      <c r="F79" t="s">
        <v>85</v>
      </c>
      <c r="G79" t="str">
        <f t="shared" si="2"/>
        <v>annual_crop</v>
      </c>
      <c r="H79" t="s">
        <v>490</v>
      </c>
      <c r="I79" t="str">
        <f t="shared" si="2"/>
        <v>Cereals</v>
      </c>
      <c r="J79" t="str">
        <f t="shared" si="2"/>
        <v>Various</v>
      </c>
      <c r="K79">
        <f t="shared" si="2"/>
        <v>0.2</v>
      </c>
      <c r="L79">
        <f>1-0.12</f>
        <v>0.88</v>
      </c>
      <c r="M79">
        <f>+foreground_occupation_file_index[[#This Row],[c_res]]*foreground_occupation_file_index[[#This Row],[c_crop]]</f>
        <v>0.17600000000000002</v>
      </c>
    </row>
    <row r="80" spans="1:13" x14ac:dyDescent="0.35">
      <c r="A80" t="s">
        <v>402</v>
      </c>
      <c r="B80" t="s">
        <v>81</v>
      </c>
      <c r="C80" t="s">
        <v>484</v>
      </c>
      <c r="D80" t="s">
        <v>84</v>
      </c>
      <c r="E80" t="s">
        <v>91</v>
      </c>
      <c r="F80" t="s">
        <v>86</v>
      </c>
      <c r="G80" t="str">
        <f t="shared" si="2"/>
        <v>annual_crop</v>
      </c>
      <c r="H80" t="s">
        <v>490</v>
      </c>
      <c r="I80" t="str">
        <f t="shared" si="2"/>
        <v>Cereals</v>
      </c>
      <c r="J80" t="str">
        <f t="shared" si="2"/>
        <v>Various</v>
      </c>
      <c r="K80">
        <f t="shared" si="2"/>
        <v>0.2</v>
      </c>
      <c r="L80">
        <v>1</v>
      </c>
      <c r="M80">
        <f>+foreground_occupation_file_index[[#This Row],[c_res]]*foreground_occupation_file_index[[#This Row],[c_crop]]</f>
        <v>0.2</v>
      </c>
    </row>
    <row r="81" spans="1:13" hidden="1" x14ac:dyDescent="0.35">
      <c r="A81" t="s">
        <v>403</v>
      </c>
      <c r="B81" t="s">
        <v>82</v>
      </c>
      <c r="C81" t="s">
        <v>485</v>
      </c>
      <c r="D81" t="s">
        <v>82</v>
      </c>
      <c r="E81" t="s">
        <v>90</v>
      </c>
      <c r="F81" t="s">
        <v>90</v>
      </c>
      <c r="I81" t="str">
        <f t="shared" si="2"/>
        <v>missing</v>
      </c>
      <c r="J81" t="str">
        <f t="shared" si="2"/>
        <v>missing</v>
      </c>
      <c r="K81">
        <v>1</v>
      </c>
      <c r="L81">
        <v>1</v>
      </c>
      <c r="M81">
        <f>+foreground_occupation_file_index[[#This Row],[c_res]]*foreground_occupation_file_index[[#This Row],[c_crop]]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7C89-6DBE-43D2-AD4C-7BFCF9E3FB30}">
  <dimension ref="A1:A196"/>
  <sheetViews>
    <sheetView topLeftCell="A17" workbookViewId="0">
      <selection activeCell="A8" sqref="A8"/>
    </sheetView>
  </sheetViews>
  <sheetFormatPr defaultRowHeight="14.5" x14ac:dyDescent="0.35"/>
  <cols>
    <col min="1" max="1" width="79.90625" customWidth="1"/>
  </cols>
  <sheetData>
    <row r="1" spans="1:1" ht="15.5" x14ac:dyDescent="0.35">
      <c r="A1" s="1" t="s">
        <v>122</v>
      </c>
    </row>
    <row r="2" spans="1:1" ht="15.5" x14ac:dyDescent="0.35">
      <c r="A2" s="1"/>
    </row>
    <row r="3" spans="1:1" ht="15.75" customHeight="1" x14ac:dyDescent="0.35">
      <c r="A3" s="2" t="s">
        <v>123</v>
      </c>
    </row>
    <row r="4" spans="1:1" ht="15.5" x14ac:dyDescent="0.35">
      <c r="A4" s="1" t="s">
        <v>124</v>
      </c>
    </row>
    <row r="6" spans="1:1" ht="15" thickBot="1" x14ac:dyDescent="0.4"/>
    <row r="7" spans="1:1" ht="15" thickBot="1" x14ac:dyDescent="0.4">
      <c r="A7" s="3" t="s">
        <v>125</v>
      </c>
    </row>
    <row r="8" spans="1:1" x14ac:dyDescent="0.35">
      <c r="A8" s="4" t="s">
        <v>126</v>
      </c>
    </row>
    <row r="9" spans="1:1" x14ac:dyDescent="0.35">
      <c r="A9" s="4" t="s">
        <v>127</v>
      </c>
    </row>
    <row r="10" spans="1:1" x14ac:dyDescent="0.35">
      <c r="A10" s="4" t="s">
        <v>128</v>
      </c>
    </row>
    <row r="11" spans="1:1" x14ac:dyDescent="0.35">
      <c r="A11" s="4" t="s">
        <v>129</v>
      </c>
    </row>
    <row r="12" spans="1:1" x14ac:dyDescent="0.35">
      <c r="A12" s="4" t="s">
        <v>130</v>
      </c>
    </row>
    <row r="13" spans="1:1" x14ac:dyDescent="0.35">
      <c r="A13" s="4" t="s">
        <v>131</v>
      </c>
    </row>
    <row r="14" spans="1:1" x14ac:dyDescent="0.35">
      <c r="A14" s="4" t="s">
        <v>132</v>
      </c>
    </row>
    <row r="15" spans="1:1" x14ac:dyDescent="0.35">
      <c r="A15" s="4" t="s">
        <v>133</v>
      </c>
    </row>
    <row r="16" spans="1:1" x14ac:dyDescent="0.35">
      <c r="A16" s="4" t="s">
        <v>134</v>
      </c>
    </row>
    <row r="17" spans="1:1" x14ac:dyDescent="0.35">
      <c r="A17" s="4" t="s">
        <v>135</v>
      </c>
    </row>
    <row r="18" spans="1:1" ht="15" thickBot="1" x14ac:dyDescent="0.4">
      <c r="A18" s="4" t="s">
        <v>136</v>
      </c>
    </row>
    <row r="19" spans="1:1" x14ac:dyDescent="0.35">
      <c r="A19" s="5" t="s">
        <v>137</v>
      </c>
    </row>
    <row r="20" spans="1:1" ht="15" thickBot="1" x14ac:dyDescent="0.4">
      <c r="A20" s="6" t="s">
        <v>138</v>
      </c>
    </row>
    <row r="21" spans="1:1" ht="15" thickBot="1" x14ac:dyDescent="0.4">
      <c r="A21" s="6" t="s">
        <v>139</v>
      </c>
    </row>
    <row r="22" spans="1:1" ht="15" thickBot="1" x14ac:dyDescent="0.4">
      <c r="A22" s="7" t="s">
        <v>140</v>
      </c>
    </row>
    <row r="23" spans="1:1" x14ac:dyDescent="0.35">
      <c r="A23" s="4" t="s">
        <v>108</v>
      </c>
    </row>
    <row r="24" spans="1:1" x14ac:dyDescent="0.35">
      <c r="A24" s="4" t="s">
        <v>141</v>
      </c>
    </row>
    <row r="25" spans="1:1" x14ac:dyDescent="0.35">
      <c r="A25" s="4" t="s">
        <v>142</v>
      </c>
    </row>
    <row r="26" spans="1:1" x14ac:dyDescent="0.35">
      <c r="A26" s="4" t="s">
        <v>143</v>
      </c>
    </row>
    <row r="27" spans="1:1" x14ac:dyDescent="0.35">
      <c r="A27" s="4" t="s">
        <v>144</v>
      </c>
    </row>
    <row r="28" spans="1:1" x14ac:dyDescent="0.35">
      <c r="A28" s="4" t="s">
        <v>145</v>
      </c>
    </row>
    <row r="29" spans="1:1" x14ac:dyDescent="0.35">
      <c r="A29" s="4" t="s">
        <v>146</v>
      </c>
    </row>
    <row r="30" spans="1:1" x14ac:dyDescent="0.35">
      <c r="A30" s="4" t="s">
        <v>147</v>
      </c>
    </row>
    <row r="31" spans="1:1" x14ac:dyDescent="0.35">
      <c r="A31" s="4" t="s">
        <v>148</v>
      </c>
    </row>
    <row r="32" spans="1:1" x14ac:dyDescent="0.35">
      <c r="A32" s="4" t="s">
        <v>149</v>
      </c>
    </row>
    <row r="33" spans="1:1" x14ac:dyDescent="0.35">
      <c r="A33" s="4" t="s">
        <v>150</v>
      </c>
    </row>
    <row r="34" spans="1:1" x14ac:dyDescent="0.35">
      <c r="A34" s="4" t="s">
        <v>151</v>
      </c>
    </row>
    <row r="35" spans="1:1" x14ac:dyDescent="0.35">
      <c r="A35" s="4" t="s">
        <v>152</v>
      </c>
    </row>
    <row r="36" spans="1:1" x14ac:dyDescent="0.35">
      <c r="A36" s="4" t="s">
        <v>153</v>
      </c>
    </row>
    <row r="37" spans="1:1" x14ac:dyDescent="0.35">
      <c r="A37" s="4" t="s">
        <v>154</v>
      </c>
    </row>
    <row r="38" spans="1:1" x14ac:dyDescent="0.35">
      <c r="A38" s="4" t="s">
        <v>155</v>
      </c>
    </row>
    <row r="39" spans="1:1" ht="15" thickBot="1" x14ac:dyDescent="0.4">
      <c r="A39" s="6" t="s">
        <v>156</v>
      </c>
    </row>
    <row r="40" spans="1:1" ht="15" thickBot="1" x14ac:dyDescent="0.4">
      <c r="A40" s="7" t="s">
        <v>157</v>
      </c>
    </row>
    <row r="41" spans="1:1" x14ac:dyDescent="0.35">
      <c r="A41" s="4" t="s">
        <v>158</v>
      </c>
    </row>
    <row r="42" spans="1:1" x14ac:dyDescent="0.35">
      <c r="A42" s="4" t="s">
        <v>106</v>
      </c>
    </row>
    <row r="43" spans="1:1" x14ac:dyDescent="0.35">
      <c r="A43" s="4" t="s">
        <v>159</v>
      </c>
    </row>
    <row r="44" spans="1:1" x14ac:dyDescent="0.35">
      <c r="A44" s="4" t="s">
        <v>160</v>
      </c>
    </row>
    <row r="45" spans="1:1" x14ac:dyDescent="0.35">
      <c r="A45" s="4" t="s">
        <v>161</v>
      </c>
    </row>
    <row r="46" spans="1:1" x14ac:dyDescent="0.35">
      <c r="A46" s="4" t="s">
        <v>162</v>
      </c>
    </row>
    <row r="47" spans="1:1" x14ac:dyDescent="0.35">
      <c r="A47" s="4" t="s">
        <v>163</v>
      </c>
    </row>
    <row r="48" spans="1:1" x14ac:dyDescent="0.35">
      <c r="A48" s="4" t="s">
        <v>164</v>
      </c>
    </row>
    <row r="49" spans="1:1" x14ac:dyDescent="0.35">
      <c r="A49" s="4" t="s">
        <v>165</v>
      </c>
    </row>
    <row r="50" spans="1:1" x14ac:dyDescent="0.35">
      <c r="A50" s="4" t="s">
        <v>166</v>
      </c>
    </row>
    <row r="51" spans="1:1" x14ac:dyDescent="0.35">
      <c r="A51" s="4" t="s">
        <v>167</v>
      </c>
    </row>
    <row r="52" spans="1:1" x14ac:dyDescent="0.35">
      <c r="A52" s="4" t="s">
        <v>168</v>
      </c>
    </row>
    <row r="53" spans="1:1" x14ac:dyDescent="0.35">
      <c r="A53" s="4" t="s">
        <v>169</v>
      </c>
    </row>
    <row r="54" spans="1:1" x14ac:dyDescent="0.35">
      <c r="A54" s="4" t="s">
        <v>170</v>
      </c>
    </row>
    <row r="55" spans="1:1" x14ac:dyDescent="0.35">
      <c r="A55" s="4" t="s">
        <v>171</v>
      </c>
    </row>
    <row r="56" spans="1:1" ht="15" thickBot="1" x14ac:dyDescent="0.4">
      <c r="A56" s="6" t="s">
        <v>172</v>
      </c>
    </row>
    <row r="57" spans="1:1" ht="15" thickBot="1" x14ac:dyDescent="0.4">
      <c r="A57" s="7" t="s">
        <v>173</v>
      </c>
    </row>
    <row r="58" spans="1:1" x14ac:dyDescent="0.35">
      <c r="A58" s="4" t="s">
        <v>114</v>
      </c>
    </row>
    <row r="59" spans="1:1" x14ac:dyDescent="0.35">
      <c r="A59" s="4" t="s">
        <v>174</v>
      </c>
    </row>
    <row r="60" spans="1:1" x14ac:dyDescent="0.35">
      <c r="A60" s="4" t="s">
        <v>175</v>
      </c>
    </row>
    <row r="61" spans="1:1" x14ac:dyDescent="0.35">
      <c r="A61" s="4" t="s">
        <v>176</v>
      </c>
    </row>
    <row r="62" spans="1:1" x14ac:dyDescent="0.35">
      <c r="A62" s="4" t="s">
        <v>177</v>
      </c>
    </row>
    <row r="63" spans="1:1" x14ac:dyDescent="0.35">
      <c r="A63" s="4" t="s">
        <v>178</v>
      </c>
    </row>
    <row r="64" spans="1:1" ht="15" thickBot="1" x14ac:dyDescent="0.4">
      <c r="A64" s="6" t="s">
        <v>179</v>
      </c>
    </row>
    <row r="65" spans="1:1" ht="15" thickBot="1" x14ac:dyDescent="0.4">
      <c r="A65" s="3" t="s">
        <v>180</v>
      </c>
    </row>
    <row r="66" spans="1:1" x14ac:dyDescent="0.35">
      <c r="A66" s="4" t="s">
        <v>181</v>
      </c>
    </row>
    <row r="67" spans="1:1" x14ac:dyDescent="0.35">
      <c r="A67" s="4" t="s">
        <v>182</v>
      </c>
    </row>
    <row r="68" spans="1:1" x14ac:dyDescent="0.35">
      <c r="A68" s="4" t="s">
        <v>183</v>
      </c>
    </row>
    <row r="69" spans="1:1" x14ac:dyDescent="0.35">
      <c r="A69" s="4" t="s">
        <v>184</v>
      </c>
    </row>
    <row r="70" spans="1:1" ht="15" thickBot="1" x14ac:dyDescent="0.4">
      <c r="A70" s="4" t="s">
        <v>185</v>
      </c>
    </row>
    <row r="71" spans="1:1" ht="15" thickBot="1" x14ac:dyDescent="0.4">
      <c r="A71" s="3" t="s">
        <v>186</v>
      </c>
    </row>
    <row r="72" spans="1:1" x14ac:dyDescent="0.35">
      <c r="A72" s="4" t="s">
        <v>187</v>
      </c>
    </row>
    <row r="73" spans="1:1" x14ac:dyDescent="0.35">
      <c r="A73" s="4" t="s">
        <v>188</v>
      </c>
    </row>
    <row r="74" spans="1:1" x14ac:dyDescent="0.35">
      <c r="A74" s="4" t="s">
        <v>189</v>
      </c>
    </row>
    <row r="75" spans="1:1" x14ac:dyDescent="0.35">
      <c r="A75" s="4" t="s">
        <v>190</v>
      </c>
    </row>
    <row r="76" spans="1:1" ht="15" thickBot="1" x14ac:dyDescent="0.4">
      <c r="A76" s="4" t="s">
        <v>191</v>
      </c>
    </row>
    <row r="77" spans="1:1" ht="15" thickBot="1" x14ac:dyDescent="0.4">
      <c r="A77" s="3" t="s">
        <v>192</v>
      </c>
    </row>
    <row r="78" spans="1:1" x14ac:dyDescent="0.35">
      <c r="A78" s="4" t="s">
        <v>193</v>
      </c>
    </row>
    <row r="79" spans="1:1" x14ac:dyDescent="0.35">
      <c r="A79" s="4" t="s">
        <v>194</v>
      </c>
    </row>
    <row r="80" spans="1:1" x14ac:dyDescent="0.35">
      <c r="A80" s="4" t="s">
        <v>195</v>
      </c>
    </row>
    <row r="81" spans="1:1" x14ac:dyDescent="0.35">
      <c r="A81" s="4" t="s">
        <v>196</v>
      </c>
    </row>
    <row r="82" spans="1:1" x14ac:dyDescent="0.35">
      <c r="A82" s="4" t="s">
        <v>197</v>
      </c>
    </row>
    <row r="83" spans="1:1" x14ac:dyDescent="0.35">
      <c r="A83" s="4" t="s">
        <v>198</v>
      </c>
    </row>
    <row r="84" spans="1:1" x14ac:dyDescent="0.35">
      <c r="A84" s="4" t="s">
        <v>199</v>
      </c>
    </row>
    <row r="85" spans="1:1" ht="15" thickBot="1" x14ac:dyDescent="0.4">
      <c r="A85" s="4" t="s">
        <v>200</v>
      </c>
    </row>
    <row r="86" spans="1:1" ht="15" thickBot="1" x14ac:dyDescent="0.4">
      <c r="A86" s="8" t="s">
        <v>201</v>
      </c>
    </row>
    <row r="87" spans="1:1" ht="15" thickBot="1" x14ac:dyDescent="0.4">
      <c r="A87" s="9" t="s">
        <v>202</v>
      </c>
    </row>
    <row r="88" spans="1:1" ht="15" thickBot="1" x14ac:dyDescent="0.4">
      <c r="A88" s="6" t="s">
        <v>203</v>
      </c>
    </row>
    <row r="89" spans="1:1" x14ac:dyDescent="0.35">
      <c r="A89" s="4" t="s">
        <v>204</v>
      </c>
    </row>
    <row r="90" spans="1:1" x14ac:dyDescent="0.35">
      <c r="A90" s="4" t="s">
        <v>205</v>
      </c>
    </row>
    <row r="91" spans="1:1" x14ac:dyDescent="0.35">
      <c r="A91" s="4" t="s">
        <v>206</v>
      </c>
    </row>
    <row r="92" spans="1:1" ht="15" thickBot="1" x14ac:dyDescent="0.4">
      <c r="A92" s="6" t="s">
        <v>207</v>
      </c>
    </row>
    <row r="93" spans="1:1" x14ac:dyDescent="0.35">
      <c r="A93" s="4" t="s">
        <v>208</v>
      </c>
    </row>
    <row r="94" spans="1:1" x14ac:dyDescent="0.35">
      <c r="A94" s="4" t="s">
        <v>209</v>
      </c>
    </row>
    <row r="95" spans="1:1" x14ac:dyDescent="0.35">
      <c r="A95" s="4" t="s">
        <v>210</v>
      </c>
    </row>
    <row r="96" spans="1:1" x14ac:dyDescent="0.35">
      <c r="A96" s="4" t="s">
        <v>211</v>
      </c>
    </row>
    <row r="97" spans="1:1" ht="15" thickBot="1" x14ac:dyDescent="0.4">
      <c r="A97" s="6" t="s">
        <v>212</v>
      </c>
    </row>
    <row r="98" spans="1:1" ht="15" thickBot="1" x14ac:dyDescent="0.4">
      <c r="A98" s="10" t="s">
        <v>213</v>
      </c>
    </row>
    <row r="99" spans="1:1" ht="15" thickBot="1" x14ac:dyDescent="0.4">
      <c r="A99" s="8" t="s">
        <v>100</v>
      </c>
    </row>
    <row r="100" spans="1:1" ht="15" thickBot="1" x14ac:dyDescent="0.4">
      <c r="A100" s="6" t="s">
        <v>214</v>
      </c>
    </row>
    <row r="101" spans="1:1" x14ac:dyDescent="0.35">
      <c r="A101" s="10" t="s">
        <v>215</v>
      </c>
    </row>
    <row r="102" spans="1:1" ht="15" thickBot="1" x14ac:dyDescent="0.4">
      <c r="A102" s="6" t="s">
        <v>216</v>
      </c>
    </row>
    <row r="103" spans="1:1" x14ac:dyDescent="0.35">
      <c r="A103" s="4" t="s">
        <v>217</v>
      </c>
    </row>
    <row r="104" spans="1:1" x14ac:dyDescent="0.35">
      <c r="A104" s="4" t="s">
        <v>218</v>
      </c>
    </row>
    <row r="105" spans="1:1" x14ac:dyDescent="0.35">
      <c r="A105" s="4" t="s">
        <v>219</v>
      </c>
    </row>
    <row r="106" spans="1:1" x14ac:dyDescent="0.35">
      <c r="A106" s="4" t="s">
        <v>220</v>
      </c>
    </row>
    <row r="107" spans="1:1" x14ac:dyDescent="0.35">
      <c r="A107" s="4" t="s">
        <v>221</v>
      </c>
    </row>
    <row r="108" spans="1:1" x14ac:dyDescent="0.35">
      <c r="A108" s="4" t="s">
        <v>222</v>
      </c>
    </row>
    <row r="109" spans="1:1" x14ac:dyDescent="0.35">
      <c r="A109" s="4" t="s">
        <v>223</v>
      </c>
    </row>
    <row r="110" spans="1:1" x14ac:dyDescent="0.35">
      <c r="A110" s="4" t="s">
        <v>224</v>
      </c>
    </row>
    <row r="111" spans="1:1" x14ac:dyDescent="0.35">
      <c r="A111" s="4" t="s">
        <v>225</v>
      </c>
    </row>
    <row r="112" spans="1:1" x14ac:dyDescent="0.35">
      <c r="A112" s="4" t="s">
        <v>226</v>
      </c>
    </row>
    <row r="113" spans="1:1" ht="15" thickBot="1" x14ac:dyDescent="0.4">
      <c r="A113" s="6" t="s">
        <v>227</v>
      </c>
    </row>
    <row r="114" spans="1:1" x14ac:dyDescent="0.35">
      <c r="A114" s="10" t="s">
        <v>228</v>
      </c>
    </row>
    <row r="115" spans="1:1" x14ac:dyDescent="0.35">
      <c r="A115" s="4" t="s">
        <v>229</v>
      </c>
    </row>
    <row r="116" spans="1:1" x14ac:dyDescent="0.35">
      <c r="A116" s="4" t="s">
        <v>230</v>
      </c>
    </row>
    <row r="117" spans="1:1" x14ac:dyDescent="0.35">
      <c r="A117" s="4" t="s">
        <v>231</v>
      </c>
    </row>
    <row r="118" spans="1:1" x14ac:dyDescent="0.35">
      <c r="A118" s="4" t="s">
        <v>232</v>
      </c>
    </row>
    <row r="119" spans="1:1" x14ac:dyDescent="0.35">
      <c r="A119" s="4" t="s">
        <v>233</v>
      </c>
    </row>
    <row r="120" spans="1:1" x14ac:dyDescent="0.35">
      <c r="A120" s="4" t="s">
        <v>234</v>
      </c>
    </row>
    <row r="121" spans="1:1" ht="15" thickBot="1" x14ac:dyDescent="0.4">
      <c r="A121" s="6" t="s">
        <v>235</v>
      </c>
    </row>
    <row r="122" spans="1:1" ht="15" thickBot="1" x14ac:dyDescent="0.4">
      <c r="A122" s="3" t="s">
        <v>236</v>
      </c>
    </row>
    <row r="123" spans="1:1" ht="15" thickBot="1" x14ac:dyDescent="0.4">
      <c r="A123" s="6" t="s">
        <v>237</v>
      </c>
    </row>
    <row r="124" spans="1:1" x14ac:dyDescent="0.35">
      <c r="A124" s="4" t="s">
        <v>238</v>
      </c>
    </row>
    <row r="125" spans="1:1" x14ac:dyDescent="0.35">
      <c r="A125" s="4" t="s">
        <v>239</v>
      </c>
    </row>
    <row r="126" spans="1:1" x14ac:dyDescent="0.35">
      <c r="A126" s="4" t="s">
        <v>240</v>
      </c>
    </row>
    <row r="127" spans="1:1" x14ac:dyDescent="0.35">
      <c r="A127" s="4" t="s">
        <v>241</v>
      </c>
    </row>
    <row r="128" spans="1:1" x14ac:dyDescent="0.35">
      <c r="A128" s="4" t="s">
        <v>242</v>
      </c>
    </row>
    <row r="129" spans="1:1" ht="15" thickBot="1" x14ac:dyDescent="0.4">
      <c r="A129" s="6" t="s">
        <v>243</v>
      </c>
    </row>
    <row r="130" spans="1:1" ht="15" thickBot="1" x14ac:dyDescent="0.4">
      <c r="A130" s="10" t="s">
        <v>244</v>
      </c>
    </row>
    <row r="131" spans="1:1" ht="15" thickBot="1" x14ac:dyDescent="0.4">
      <c r="A131" s="8" t="s">
        <v>245</v>
      </c>
    </row>
    <row r="132" spans="1:1" x14ac:dyDescent="0.35">
      <c r="A132" s="4" t="s">
        <v>246</v>
      </c>
    </row>
    <row r="133" spans="1:1" x14ac:dyDescent="0.35">
      <c r="A133" s="4" t="s">
        <v>247</v>
      </c>
    </row>
    <row r="134" spans="1:1" x14ac:dyDescent="0.35">
      <c r="A134" s="4" t="s">
        <v>248</v>
      </c>
    </row>
    <row r="135" spans="1:1" x14ac:dyDescent="0.35">
      <c r="A135" s="4" t="s">
        <v>249</v>
      </c>
    </row>
    <row r="136" spans="1:1" x14ac:dyDescent="0.35">
      <c r="A136" s="4" t="s">
        <v>250</v>
      </c>
    </row>
    <row r="137" spans="1:1" x14ac:dyDescent="0.35">
      <c r="A137" s="4" t="s">
        <v>251</v>
      </c>
    </row>
    <row r="138" spans="1:1" x14ac:dyDescent="0.35">
      <c r="A138" s="4" t="s">
        <v>252</v>
      </c>
    </row>
    <row r="139" spans="1:1" x14ac:dyDescent="0.35">
      <c r="A139" s="4" t="s">
        <v>253</v>
      </c>
    </row>
    <row r="140" spans="1:1" x14ac:dyDescent="0.35">
      <c r="A140" s="4" t="s">
        <v>254</v>
      </c>
    </row>
    <row r="141" spans="1:1" x14ac:dyDescent="0.35">
      <c r="A141" s="4" t="s">
        <v>255</v>
      </c>
    </row>
    <row r="142" spans="1:1" x14ac:dyDescent="0.35">
      <c r="A142" s="4" t="s">
        <v>256</v>
      </c>
    </row>
    <row r="143" spans="1:1" x14ac:dyDescent="0.35">
      <c r="A143" s="4" t="s">
        <v>257</v>
      </c>
    </row>
    <row r="144" spans="1:1" x14ac:dyDescent="0.35">
      <c r="A144" s="4" t="s">
        <v>258</v>
      </c>
    </row>
    <row r="145" spans="1:1" x14ac:dyDescent="0.35">
      <c r="A145" s="4" t="s">
        <v>259</v>
      </c>
    </row>
    <row r="146" spans="1:1" ht="15" thickBot="1" x14ac:dyDescent="0.4">
      <c r="A146" s="6" t="s">
        <v>260</v>
      </c>
    </row>
    <row r="147" spans="1:1" ht="15" thickBot="1" x14ac:dyDescent="0.4">
      <c r="A147" s="7" t="s">
        <v>261</v>
      </c>
    </row>
    <row r="148" spans="1:1" x14ac:dyDescent="0.35">
      <c r="A148" s="4" t="s">
        <v>262</v>
      </c>
    </row>
    <row r="149" spans="1:1" x14ac:dyDescent="0.35">
      <c r="A149" s="4" t="s">
        <v>263</v>
      </c>
    </row>
    <row r="150" spans="1:1" x14ac:dyDescent="0.35">
      <c r="A150" s="4" t="s">
        <v>92</v>
      </c>
    </row>
    <row r="151" spans="1:1" x14ac:dyDescent="0.35">
      <c r="A151" s="4" t="s">
        <v>264</v>
      </c>
    </row>
    <row r="152" spans="1:1" x14ac:dyDescent="0.35">
      <c r="A152" s="4" t="s">
        <v>265</v>
      </c>
    </row>
    <row r="153" spans="1:1" x14ac:dyDescent="0.35">
      <c r="A153" s="4" t="s">
        <v>266</v>
      </c>
    </row>
    <row r="154" spans="1:1" x14ac:dyDescent="0.35">
      <c r="A154" s="4" t="s">
        <v>93</v>
      </c>
    </row>
    <row r="155" spans="1:1" x14ac:dyDescent="0.35">
      <c r="A155" s="4" t="s">
        <v>267</v>
      </c>
    </row>
    <row r="156" spans="1:1" x14ac:dyDescent="0.35">
      <c r="A156" s="4" t="s">
        <v>268</v>
      </c>
    </row>
    <row r="157" spans="1:1" x14ac:dyDescent="0.35">
      <c r="A157" s="4" t="s">
        <v>269</v>
      </c>
    </row>
    <row r="158" spans="1:1" x14ac:dyDescent="0.35">
      <c r="A158" s="4" t="s">
        <v>270</v>
      </c>
    </row>
    <row r="159" spans="1:1" x14ac:dyDescent="0.35">
      <c r="A159" s="4" t="s">
        <v>271</v>
      </c>
    </row>
    <row r="160" spans="1:1" x14ac:dyDescent="0.35">
      <c r="A160" s="4" t="s">
        <v>272</v>
      </c>
    </row>
    <row r="161" spans="1:1" x14ac:dyDescent="0.35">
      <c r="A161" s="4" t="s">
        <v>273</v>
      </c>
    </row>
    <row r="162" spans="1:1" x14ac:dyDescent="0.35">
      <c r="A162" s="4" t="s">
        <v>274</v>
      </c>
    </row>
    <row r="163" spans="1:1" x14ac:dyDescent="0.35">
      <c r="A163" s="4" t="s">
        <v>97</v>
      </c>
    </row>
    <row r="164" spans="1:1" x14ac:dyDescent="0.35">
      <c r="A164" s="4" t="s">
        <v>275</v>
      </c>
    </row>
    <row r="165" spans="1:1" x14ac:dyDescent="0.35">
      <c r="A165" s="4" t="s">
        <v>276</v>
      </c>
    </row>
    <row r="166" spans="1:1" x14ac:dyDescent="0.35">
      <c r="A166" s="4" t="s">
        <v>277</v>
      </c>
    </row>
    <row r="167" spans="1:1" x14ac:dyDescent="0.35">
      <c r="A167" s="4" t="s">
        <v>278</v>
      </c>
    </row>
    <row r="168" spans="1:1" x14ac:dyDescent="0.35">
      <c r="A168" s="4" t="s">
        <v>279</v>
      </c>
    </row>
    <row r="169" spans="1:1" x14ac:dyDescent="0.35">
      <c r="A169" s="4" t="s">
        <v>280</v>
      </c>
    </row>
    <row r="170" spans="1:1" x14ac:dyDescent="0.35">
      <c r="A170" s="4" t="s">
        <v>281</v>
      </c>
    </row>
    <row r="171" spans="1:1" x14ac:dyDescent="0.35">
      <c r="A171" s="4" t="s">
        <v>282</v>
      </c>
    </row>
    <row r="172" spans="1:1" x14ac:dyDescent="0.35">
      <c r="A172" s="4" t="s">
        <v>283</v>
      </c>
    </row>
    <row r="173" spans="1:1" x14ac:dyDescent="0.35">
      <c r="A173" s="4" t="s">
        <v>284</v>
      </c>
    </row>
    <row r="174" spans="1:1" x14ac:dyDescent="0.35">
      <c r="A174" s="4" t="s">
        <v>285</v>
      </c>
    </row>
    <row r="175" spans="1:1" x14ac:dyDescent="0.35">
      <c r="A175" s="4" t="s">
        <v>286</v>
      </c>
    </row>
    <row r="176" spans="1:1" x14ac:dyDescent="0.35">
      <c r="A176" s="4" t="s">
        <v>287</v>
      </c>
    </row>
    <row r="177" spans="1:1" x14ac:dyDescent="0.35">
      <c r="A177" s="4" t="s">
        <v>288</v>
      </c>
    </row>
    <row r="178" spans="1:1" x14ac:dyDescent="0.35">
      <c r="A178" s="4" t="s">
        <v>289</v>
      </c>
    </row>
    <row r="179" spans="1:1" ht="15" thickBot="1" x14ac:dyDescent="0.4">
      <c r="A179" s="6" t="s">
        <v>290</v>
      </c>
    </row>
    <row r="180" spans="1:1" x14ac:dyDescent="0.35">
      <c r="A180" s="4" t="s">
        <v>291</v>
      </c>
    </row>
    <row r="181" spans="1:1" x14ac:dyDescent="0.35">
      <c r="A181" s="4" t="s">
        <v>103</v>
      </c>
    </row>
    <row r="182" spans="1:1" x14ac:dyDescent="0.35">
      <c r="A182" s="4" t="s">
        <v>105</v>
      </c>
    </row>
    <row r="183" spans="1:1" x14ac:dyDescent="0.35">
      <c r="A183" s="4" t="s">
        <v>292</v>
      </c>
    </row>
    <row r="184" spans="1:1" x14ac:dyDescent="0.35">
      <c r="A184" s="4" t="s">
        <v>293</v>
      </c>
    </row>
    <row r="185" spans="1:1" x14ac:dyDescent="0.35">
      <c r="A185" s="4" t="s">
        <v>294</v>
      </c>
    </row>
    <row r="186" spans="1:1" x14ac:dyDescent="0.35">
      <c r="A186" s="4" t="s">
        <v>295</v>
      </c>
    </row>
    <row r="187" spans="1:1" x14ac:dyDescent="0.35">
      <c r="A187" s="4" t="s">
        <v>296</v>
      </c>
    </row>
    <row r="188" spans="1:1" x14ac:dyDescent="0.35">
      <c r="A188" s="4" t="s">
        <v>297</v>
      </c>
    </row>
    <row r="189" spans="1:1" x14ac:dyDescent="0.35">
      <c r="A189" s="4" t="s">
        <v>298</v>
      </c>
    </row>
    <row r="190" spans="1:1" x14ac:dyDescent="0.35">
      <c r="A190" s="4" t="s">
        <v>299</v>
      </c>
    </row>
    <row r="191" spans="1:1" x14ac:dyDescent="0.35">
      <c r="A191" s="4" t="s">
        <v>300</v>
      </c>
    </row>
    <row r="192" spans="1:1" x14ac:dyDescent="0.35">
      <c r="A192" s="4" t="s">
        <v>301</v>
      </c>
    </row>
    <row r="193" spans="1:1" x14ac:dyDescent="0.35">
      <c r="A193" s="4" t="s">
        <v>302</v>
      </c>
    </row>
    <row r="194" spans="1:1" x14ac:dyDescent="0.35">
      <c r="A194" s="4" t="s">
        <v>303</v>
      </c>
    </row>
    <row r="195" spans="1:1" x14ac:dyDescent="0.35">
      <c r="A195" s="4" t="s">
        <v>304</v>
      </c>
    </row>
    <row r="196" spans="1:1" ht="15" thickBot="1" x14ac:dyDescent="0.4">
      <c r="A196" s="6" t="s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C754-CE69-4A02-AD93-37C8CFB7A3CF}">
  <dimension ref="A1"/>
  <sheetViews>
    <sheetView topLeftCell="A2" workbookViewId="0">
      <selection activeCell="N16" sqref="N16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CA3F41-31E9-4516-A35B-263BA12376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foreground_occupation_file_inde</vt:lpstr>
      <vt:lpstr>Crop_Classification</vt:lpstr>
      <vt:lpstr>C_Crops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Loyola, Cristóbal</dc:creator>
  <cp:lastModifiedBy>Cristóbal Loyola</cp:lastModifiedBy>
  <dcterms:created xsi:type="dcterms:W3CDTF">2025-03-17T19:21:31Z</dcterms:created>
  <dcterms:modified xsi:type="dcterms:W3CDTF">2026-01-09T17:52:46Z</dcterms:modified>
</cp:coreProperties>
</file>