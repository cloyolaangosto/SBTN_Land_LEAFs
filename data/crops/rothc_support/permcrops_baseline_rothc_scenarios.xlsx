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165" documentId="11_9BC43EBF71FB3192BEA8278AF65FF74D9D56121C" xr6:coauthVersionLast="47" xr6:coauthVersionMax="47" xr10:uidLastSave="{725A0E26-050E-4A91-8719-24596362F113}"/>
  <bookViews>
    <workbookView xWindow="-110" yWindow="-110" windowWidth="19420" windowHeight="11500" xr2:uid="{00000000-000D-0000-FFFF-FFFF00000000}"/>
  </bookViews>
  <sheets>
    <sheet name="scenarios" sheetId="1" r:id="rId1"/>
    <sheet name="crop_naming" sheetId="2" r:id="rId2"/>
    <sheet name="spam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<sst xmlns="http://schemas.openxmlformats.org/spreadsheetml/2006/main" count="1228" uniqueCount="425">
  <si>
    <t>lu_fp</t>
  </si>
  <si>
    <t>n_years</t>
  </si>
  <si>
    <t>evap_fp</t>
  </si>
  <si>
    <t>data_description</t>
  </si>
  <si>
    <t>save_folder</t>
  </si>
  <si>
    <t>residue_runs</t>
  </si>
  <si>
    <t>../LEAFs/SOC/rasters</t>
  </si>
  <si>
    <t>crop_name</t>
  </si>
  <si>
    <t>commodity_type</t>
  </si>
  <si>
    <t>pc_fp</t>
  </si>
  <si>
    <t>irr_fp</t>
  </si>
  <si>
    <t>pr_fp</t>
  </si>
  <si>
    <t>fym_fp</t>
  </si>
  <si>
    <t>red_till</t>
  </si>
  <si>
    <t>save_CO2</t>
  </si>
  <si>
    <t>Apple</t>
  </si>
  <si>
    <t>Banana</t>
  </si>
  <si>
    <t>Cocoa</t>
  </si>
  <si>
    <t>Coconut</t>
  </si>
  <si>
    <t>Coffee</t>
  </si>
  <si>
    <t>Grapes</t>
  </si>
  <si>
    <t>Oil palm</t>
  </si>
  <si>
    <t>Olive</t>
  </si>
  <si>
    <t>Orange</t>
  </si>
  <si>
    <t>irr</t>
  </si>
  <si>
    <t>rf</t>
  </si>
  <si>
    <t>../data/land_use/lu_Irrigated_Apples.tif</t>
  </si>
  <si>
    <t>../data/land_use/lu_Irrigated_Bananas.tif</t>
  </si>
  <si>
    <t>../data/land_use/lu_Irrigated_Cocoa.tif</t>
  </si>
  <si>
    <t>../data/land_use/lu_Irrigated_Coconuts.tif</t>
  </si>
  <si>
    <t>../data/land_use/lu_Irrigated_Coffee.tif</t>
  </si>
  <si>
    <t>../data/land_use/lu_Irrigated_Grapes.tif</t>
  </si>
  <si>
    <t>../data/land_use/lu_Irrigated_Oil_palm.tif</t>
  </si>
  <si>
    <t>../data/land_use/lu_Irrigated_Olives.tif</t>
  </si>
  <si>
    <t>../data/land_use/lu_Irrigated_Oranges.tif</t>
  </si>
  <si>
    <t>../data/land_use/lu_Rainfed_Apples.tif</t>
  </si>
  <si>
    <t>../data/land_use/lu_Rainfed_Bananas.tif</t>
  </si>
  <si>
    <t>../data/land_use/lu_Rainfed_Cocoa.tif</t>
  </si>
  <si>
    <t>../data/land_use/lu_Rainfed_Coconuts.tif</t>
  </si>
  <si>
    <t>../data/land_use/lu_Rainfed_Coffee.tif</t>
  </si>
  <si>
    <t>../data/land_use/lu_Rainfed_Grapes.tif</t>
  </si>
  <si>
    <t>../data/land_use/lu_Rainfed_Oil_palm.tif</t>
  </si>
  <si>
    <t>../data/land_use/lu_Rainfed_Olives.tif</t>
  </si>
  <si>
    <t>../data/land_use/lu_Rainfed_Oranges.tif</t>
  </si>
  <si>
    <t>irr_yield_scaling</t>
  </si>
  <si>
    <t>spam_crop_raster</t>
  </si>
  <si>
    <t>spam_all_fp</t>
  </si>
  <si>
    <t>spam_irr_fp</t>
  </si>
  <si>
    <t>spam_rf_fp</t>
  </si>
  <si>
    <t>../data/crops/spam2020V2r0_global_yield/spam2020_V2r0_global_Y_BANA_A.tif</t>
  </si>
  <si>
    <t>Crops</t>
  </si>
  <si>
    <t>FAO_Crop</t>
  </si>
  <si>
    <t>SPAM_Crop_ID</t>
  </si>
  <si>
    <t>SPAM_Crop</t>
  </si>
  <si>
    <t>IPCC_Crop</t>
  </si>
  <si>
    <t>Apples</t>
  </si>
  <si>
    <t>temf</t>
  </si>
  <si>
    <t>Temperate Fruit</t>
  </si>
  <si>
    <t>Bananas</t>
  </si>
  <si>
    <t>bana</t>
  </si>
  <si>
    <t>Barley</t>
  </si>
  <si>
    <t>barl</t>
  </si>
  <si>
    <t>Cabbage</t>
  </si>
  <si>
    <t>Cabbages</t>
  </si>
  <si>
    <t>vege</t>
  </si>
  <si>
    <t>Other Vegetables</t>
  </si>
  <si>
    <t>Carrot</t>
  </si>
  <si>
    <t>Carrots and turnips</t>
  </si>
  <si>
    <t>orts</t>
  </si>
  <si>
    <t>Other Roots</t>
  </si>
  <si>
    <t>Cocoa beans</t>
  </si>
  <si>
    <t>coco</t>
  </si>
  <si>
    <t>Coconuts, in shell</t>
  </si>
  <si>
    <t>cnut</t>
  </si>
  <si>
    <t>Coffee, green</t>
  </si>
  <si>
    <t>coff</t>
  </si>
  <si>
    <t>Arabic Coffee</t>
  </si>
  <si>
    <t>Cotton</t>
  </si>
  <si>
    <t>Seed cotton, unginned</t>
  </si>
  <si>
    <t>cott</t>
  </si>
  <si>
    <t>Groundnut</t>
  </si>
  <si>
    <t>Groundnuts, excluding shelled</t>
  </si>
  <si>
    <t>grou</t>
  </si>
  <si>
    <t>Peanut (w/pod)</t>
  </si>
  <si>
    <t>Maize</t>
  </si>
  <si>
    <t>Maize (corn)</t>
  </si>
  <si>
    <t>maiz</t>
  </si>
  <si>
    <t>Oil palm fruit</t>
  </si>
  <si>
    <t>oilp</t>
  </si>
  <si>
    <t>Oilpalm</t>
  </si>
  <si>
    <t>Olives</t>
  </si>
  <si>
    <t>Onion</t>
  </si>
  <si>
    <t>Onions and shallots, green</t>
  </si>
  <si>
    <t>onio</t>
  </si>
  <si>
    <t>Oranges</t>
  </si>
  <si>
    <t>citr</t>
  </si>
  <si>
    <t>Citrus</t>
  </si>
  <si>
    <t>Potato</t>
  </si>
  <si>
    <t>Potatoes</t>
  </si>
  <si>
    <t>pota</t>
  </si>
  <si>
    <t>Potatoes and Tubers</t>
  </si>
  <si>
    <t>Rapeseed</t>
  </si>
  <si>
    <t>Rape or colza seed</t>
  </si>
  <si>
    <t>rape</t>
  </si>
  <si>
    <t>Generic value for crops not indicated below</t>
  </si>
  <si>
    <t>Rice</t>
  </si>
  <si>
    <t>rice</t>
  </si>
  <si>
    <t>Sorghum</t>
  </si>
  <si>
    <t>sorg</t>
  </si>
  <si>
    <t>Soybean</t>
  </si>
  <si>
    <t>Soya beans</t>
  </si>
  <si>
    <t>soyb</t>
  </si>
  <si>
    <t>Soybeans</t>
  </si>
  <si>
    <t>Sugarbeet</t>
  </si>
  <si>
    <t>Sugar beet</t>
  </si>
  <si>
    <t>sugb</t>
  </si>
  <si>
    <t>Sugarcane</t>
  </si>
  <si>
    <t>Sugar cane</t>
  </si>
  <si>
    <t>sugc</t>
  </si>
  <si>
    <t>Sunflower</t>
  </si>
  <si>
    <t>Sunflower seed</t>
  </si>
  <si>
    <t>sunf</t>
  </si>
  <si>
    <t>Sweet potato</t>
  </si>
  <si>
    <t>Sweet potatoes</t>
  </si>
  <si>
    <t>swpo</t>
  </si>
  <si>
    <t>Sweet Potato</t>
  </si>
  <si>
    <t>Tobacco</t>
  </si>
  <si>
    <t>Unmanufactured tobacco</t>
  </si>
  <si>
    <t>toba</t>
  </si>
  <si>
    <t>Tomato</t>
  </si>
  <si>
    <t>Tomatoes</t>
  </si>
  <si>
    <t>toma</t>
  </si>
  <si>
    <t>Wheat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</si>
  <si>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</si>
  <si>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</si>
  <si>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</si>
  <si>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</si>
  <si>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</si>
  <si>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</si>
  <si>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</si>
  <si>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</si>
  <si>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</si>
  <si>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</si>
  <si>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</si>
  <si>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</si>
  <si>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</si>
  <si>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</si>
  <si>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</si>
  <si>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</si>
  <si>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</si>
  <si>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</si>
  <si>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</si>
  <si>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</si>
  <si>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</si>
  <si>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</si>
  <si>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</si>
  <si>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</si>
  <si>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</si>
  <si>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</si>
  <si>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</si>
  <si>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</si>
  <si>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</si>
  <si>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</si>
  <si>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</si>
  <si>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</si>
  <si>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</si>
  <si>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</si>
  <si>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</si>
  <si>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</si>
  <si>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</si>
  <si>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</si>
  <si>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</si>
  <si>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</si>
  <si>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</si>
  <si>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</si>
  <si>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</si>
  <si>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</si>
  <si>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</si>
  <si>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</si>
  <si>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</si>
  <si>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</si>
  <si>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</si>
  <si>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</si>
  <si>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</si>
  <si>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</si>
  <si>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</si>
  <si>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</si>
  <si>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</si>
  <si>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</si>
  <si>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</si>
  <si>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</si>
  <si>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</si>
  <si>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</si>
  <si>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</si>
  <si>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</si>
  <si>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</si>
  <si>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</si>
  <si>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</si>
  <si>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</si>
  <si>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</si>
  <si>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</si>
  <si>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</si>
  <si>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</si>
  <si>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</si>
  <si>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</si>
  <si>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</si>
  <si>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</si>
  <si>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</si>
  <si>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</si>
  <si>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</si>
  <si>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</si>
  <si>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</si>
  <si>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</si>
  <si>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</si>
  <si>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</si>
  <si>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</si>
  <si>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</si>
  <si>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</si>
  <si>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</si>
  <si>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</si>
  <si>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</si>
  <si>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</si>
  <si>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</si>
  <si>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</si>
  <si>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</si>
  <si>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</si>
  <si>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</si>
  <si>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</si>
  <si>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</si>
  <si>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</si>
  <si>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</si>
  <si>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</si>
  <si>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</si>
  <si>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</si>
  <si>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</si>
  <si>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</si>
  <si>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</si>
  <si>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</si>
  <si>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</si>
  <si>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</si>
  <si>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</si>
  <si>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</si>
  <si>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</si>
  <si>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</si>
  <si>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</si>
  <si>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</si>
  <si>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</si>
  <si>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</si>
  <si>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</si>
  <si>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</si>
  <si>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</si>
  <si>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</si>
  <si>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</si>
  <si>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</si>
  <si>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</si>
  <si>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</si>
  <si>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</si>
  <si>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</si>
  <si>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</si>
  <si>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</si>
  <si>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</si>
  <si>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</si>
  <si>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</si>
  <si>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</si>
  <si>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</si>
  <si>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</si>
  <si>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</si>
  <si>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</si>
  <si>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</si>
  <si>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</si>
  <si>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</si>
  <si>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</si>
  <si>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</si>
  <si>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</si>
  <si>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</si>
  <si>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</si>
  <si>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</si>
  <si>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</si>
  <si>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</si>
  <si>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</si>
  <si>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</si>
  <si>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</si>
  <si>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</si>
  <si>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</si>
  <si>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</si>
  <si>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</si>
  <si>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</si>
  <si>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</si>
  <si>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</si>
  <si>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</si>
  <si>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</si>
  <si>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</si>
  <si>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</si>
  <si>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</si>
  <si>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</si>
  <si>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</si>
  <si>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</si>
  <si>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</si>
  <si>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</si>
  <si>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</si>
  <si>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</si>
  <si>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</si>
  <si>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</si>
  <si>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</si>
  <si>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</si>
  <si>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</si>
  <si>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</si>
  <si>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</si>
  <si>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</si>
  <si>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</si>
  <si>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</si>
  <si>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</si>
  <si>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</si>
  <si>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</si>
  <si>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</si>
  <si>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</si>
  <si>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</si>
  <si>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</si>
  <si>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</si>
  <si>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</si>
  <si>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</si>
  <si>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</si>
  <si>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</si>
  <si>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</si>
  <si>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</si>
  <si>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</si>
  <si>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</si>
  <si>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</si>
  <si>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</si>
  <si>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</si>
  <si>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</si>
  <si>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</si>
  <si>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</si>
  <si>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</si>
  <si>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</si>
  <si>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</si>
  <si>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</si>
  <si>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</si>
  <si>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</si>
  <si>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</si>
  <si>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</si>
  <si>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</si>
  <si>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</si>
  <si>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</si>
  <si>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</si>
  <si>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</si>
  <si>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</si>
  <si>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</si>
  <si>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</si>
  <si>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</si>
  <si>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</si>
  <si>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../data/crops/spam2020V2r0_global_yield/spam2020_V2r0_global_Y_TEMF_A.tif</t>
  </si>
  <si>
    <t>../data/crops/spam2020V2r0_global_yield/spam2020_V2r0_global_Y_COCO_A.tif</t>
  </si>
  <si>
    <t>../data/crops/spam2020V2r0_global_yield/spam2020_V2r0_global_Y_CNUT_A.tif</t>
  </si>
  <si>
    <t>../data/crops/spam2020V2r0_global_yield/spam2020_V2r0_global_Y_COFF_A.tif</t>
  </si>
  <si>
    <t>../data/crops/spam2020V2r0_global_yield/spam2020_V2r0_global_Y_OILP_A.tif</t>
  </si>
  <si>
    <t>../data/crops/spam2020V2r0_global_yield/spam2020_V2r0_global_Y_CITR_A.tif</t>
  </si>
  <si>
    <t>../data/crops/spam2020V2r0_global_yield/spam2020_V2r0_global_Y_TEMF_I.tif</t>
  </si>
  <si>
    <t>../data/crops/spam2020V2r0_global_yield/spam2020_V2r0_global_Y_BANA_I.tif</t>
  </si>
  <si>
    <t>../data/crops/spam2020V2r0_global_yield/spam2020_V2r0_global_Y_COCO_I.tif</t>
  </si>
  <si>
    <t>../data/crops/spam2020V2r0_global_yield/spam2020_V2r0_global_Y_CNUT_I.tif</t>
  </si>
  <si>
    <t>../data/crops/spam2020V2r0_global_yield/spam2020_V2r0_global_Y_COFF_I.tif</t>
  </si>
  <si>
    <t>../data/crops/spam2020V2r0_global_yield/spam2020_V2r0_global_Y_OILP_I.tif</t>
  </si>
  <si>
    <t>../data/crops/spam2020V2r0_global_yield/spam2020_V2r0_global_Y_CITR_I.tif</t>
  </si>
  <si>
    <t>../data/crops/spam2020V2r0_global_yield/spam2020_V2r0_global_Y_TEMF_R.tif</t>
  </si>
  <si>
    <t>../data/crops/spam2020V2r0_global_yield/spam2020_V2r0_global_Y_BANA_R.tif</t>
  </si>
  <si>
    <t>../data/crops/spam2020V2r0_global_yield/spam2020_V2r0_global_Y_COCO_R.tif</t>
  </si>
  <si>
    <t>../data/crops/spam2020V2r0_global_yield/spam2020_V2r0_global_Y_CNUT_R.tif</t>
  </si>
  <si>
    <t>../data/crops/spam2020V2r0_global_yield/spam2020_V2r0_global_Y_COFF_R.tif</t>
  </si>
  <si>
    <t>../data/crops/spam2020V2r0_global_yield/spam2020_V2r0_global_Y_OILP_R.tif</t>
  </si>
  <si>
    <t>../data/crops/spam2020V2r0_global_yield/spam2020_V2r0_global_Y_CITR_R.tif</t>
  </si>
  <si>
    <t>permanent_crop</t>
  </si>
  <si>
    <t>../data/land_use/lu_Irrigated_Sugarcane.tif</t>
  </si>
  <si>
    <t>../data/land_use/lu_Rainfed_Sugarcane.tif</t>
  </si>
  <si>
    <t>../data/crops/rothc_support/Apple_irr_pet_monthly.tif</t>
  </si>
  <si>
    <t>../data/crops/rothc_support/Apple_irr_pc_monthly.tif</t>
  </si>
  <si>
    <t>../data/crops/rothc_support/Apple_irr_irr_monthly.tif</t>
  </si>
  <si>
    <t>../data/crops/rothc_support/Banana_irr_pet_monthly.tif</t>
  </si>
  <si>
    <t>../data/crops/rothc_support/Banana_irr_pc_monthly.tif</t>
  </si>
  <si>
    <t>../data/crops/rothc_support/Banana_irr_irr_monthly.tif</t>
  </si>
  <si>
    <t>../data/crops/rothc_support/Cocoa_irr_pet_monthly.tif</t>
  </si>
  <si>
    <t>../data/crops/rothc_support/Cocoa_irr_pc_monthly.tif</t>
  </si>
  <si>
    <t>../data/crops/rothc_support/Cocoa_irr_irr_monthly.tif</t>
  </si>
  <si>
    <t>../data/crops/rothc_support/Coconut_irr_pet_monthly.tif</t>
  </si>
  <si>
    <t>../data/crops/rothc_support/Coconut_irr_pc_monthly.tif</t>
  </si>
  <si>
    <t>../data/crops/rothc_support/Coconut_irr_irr_monthly.tif</t>
  </si>
  <si>
    <t>../data/crops/rothc_support/Coffee_irr_pet_monthly.tif</t>
  </si>
  <si>
    <t>../data/crops/rothc_support/Coffee_irr_pc_monthly.tif</t>
  </si>
  <si>
    <t>../data/crops/rothc_support/Coffee_irr_irr_monthly.tif</t>
  </si>
  <si>
    <t>../data/crops/rothc_support/Grapes_irr_pet_monthly.tif</t>
  </si>
  <si>
    <t>../data/crops/rothc_support/Grapes_irr_pc_monthly.tif</t>
  </si>
  <si>
    <t>../data/crops/rothc_support/Grapes_irr_irr_monthly.tif</t>
  </si>
  <si>
    <t>../data/crops/rothc_support/Oil palm_irr_pet_monthly.tif</t>
  </si>
  <si>
    <t>../data/crops/rothc_support/Oil palm_irr_pc_monthly.tif</t>
  </si>
  <si>
    <t>../data/crops/rothc_support/Oil palm_irr_irr_monthly.tif</t>
  </si>
  <si>
    <t>../data/crops/rothc_support/Olive_irr_pet_monthly.tif</t>
  </si>
  <si>
    <t>../data/crops/rothc_support/Olive_irr_pc_monthly.tif</t>
  </si>
  <si>
    <t>../data/crops/rothc_support/Olive_irr_irr_monthly.tif</t>
  </si>
  <si>
    <t>../data/crops/rothc_support/Orange_irr_pet_monthly.tif</t>
  </si>
  <si>
    <t>../data/crops/rothc_support/Orange_irr_pc_monthly.tif</t>
  </si>
  <si>
    <t>../data/crops/rothc_support/Orange_irr_irr_monthly.tif</t>
  </si>
  <si>
    <t>../data/crops/rothc_support/Apple_rf_pet_monthly.tif</t>
  </si>
  <si>
    <t>../data/crops/rothc_support/Apple_rf_pc_monthly.tif</t>
  </si>
  <si>
    <t>../data/crops/rothc_support/Banana_rf_pet_monthly.tif</t>
  </si>
  <si>
    <t>../data/crops/rothc_support/Banana_rf_pc_monthly.tif</t>
  </si>
  <si>
    <t>../data/crops/rothc_support/Cocoa_rf_pet_monthly.tif</t>
  </si>
  <si>
    <t>../data/crops/rothc_support/Cocoa_rf_pc_monthly.tif</t>
  </si>
  <si>
    <t>../data/crops/rothc_support/Coconut_rf_pet_monthly.tif</t>
  </si>
  <si>
    <t>../data/crops/rothc_support/Coconut_rf_pc_monthly.tif</t>
  </si>
  <si>
    <t>../data/crops/rothc_support/Coffee_rf_pet_monthly.tif</t>
  </si>
  <si>
    <t>../data/crops/rothc_support/Coffee_rf_pc_monthly.tif</t>
  </si>
  <si>
    <t>../data/crops/rothc_support/Grapes_rf_pet_monthly.tif</t>
  </si>
  <si>
    <t>../data/crops/rothc_support/Grapes_rf_pc_monthly.tif</t>
  </si>
  <si>
    <t>../data/crops/rothc_support/Olive_rf_pet_monthly.tif</t>
  </si>
  <si>
    <t>../data/crops/rothc_support/Olive_rf_pc_monthly.tif</t>
  </si>
  <si>
    <t>../data/crops/rothc_support/Orange_rf_pet_monthly.tif</t>
  </si>
  <si>
    <t>../data/crops/rothc_support/Orange_rf_pc_monthly.tif</t>
  </si>
  <si>
    <t>../data/crops/rothc_support/Sugarcane_irr_pet_monthly.tif</t>
  </si>
  <si>
    <t>../data/crops/rothc_support/Sugarcane_irr_pc_monthly.tif</t>
  </si>
  <si>
    <t>../data/crops/rothc_support/Sugarcane_irr_irr_monthly.tif</t>
  </si>
  <si>
    <t>../data/crops/rothc_support/Sugarcane_rf_pet_monthly.tif</t>
  </si>
  <si>
    <t>../data/crops/rothc_support/Sugarcane_rf_pc_monthly.tif</t>
  </si>
  <si>
    <t>../data/crops/spam2020V2r0_global_yield/spam2020_V2r0_global_Y_SUGC_I.tif</t>
  </si>
  <si>
    <t>../data/crops/spam2020V2r0_global_yield/spam2020_V2r0_global_Y_SUGC_R.tif</t>
  </si>
  <si>
    <t>../data/crops/spam2020V2r0_global_yield/spam2020_V2r0_global_Y_SUGC_A.tif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</si>
</sst>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0" fillId="0" borderId="1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21"/>
  <sheetViews>
    <sheetView tabSelected="1" workbookViewId="0">
      <pane xSplit="3" ySplit="1" topLeftCell="M4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2" width="13.54296875" bestFit="1" customWidth="1"/>
    <col min="3" max="3" width="16.453125" bestFit="1" customWidth="1"/>
    <col min="4" max="4" width="13.54296875" style="1" bestFit="1" customWidth="1"/>
    <col min="5" max="5" width="25.81640625" bestFit="1" customWidth="1"/>
    <col min="6" max="6" width="33.81640625" customWidth="1"/>
    <col min="7" max="7" width="36.81640625" bestFit="1" customWidth="1"/>
    <col min="8" max="8" width="18.36328125" bestFit="1" customWidth="1"/>
    <col min="9" max="9" width="13.54296875" style="1" bestFit="1" customWidth="1"/>
    <col min="16" max="16" width="16.08984375" bestFit="1" customWidth="1"/>
    <col min="17" max="18" width="11" bestFit="1" customWidth="1"/>
    <col min="19" max="19" width="10.453125" bestFit="1" customWidth="1"/>
  </cols>
  <sheetData>
    <row r="1" spans="1:19" ht="18.75" customHeight="1" x14ac:dyDescent="0.35">
      <c r="A1" t="s">
        <v>7</v>
      </c>
      <c r="B1" t="s">
        <v>8</v>
      </c>
      <c r="C1" t="s">
        <v>44</v>
      </c>
      <c r="D1" t="s">
        <v>1</v>
      </c>
      <c r="E1" t="s">
        <v>4</v>
      </c>
      <c r="F1" t="s">
        <v>3</v>
      </c>
      <c r="G1" t="s">
        <v>0</v>
      </c>
      <c r="H1" t="s">
        <v>2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5</v>
      </c>
      <c r="P1" s="3" t="s">
        <v>45</v>
      </c>
      <c r="Q1" s="3" t="s">
        <v>46</v>
      </c>
      <c r="R1" s="3" t="s">
        <v>47</v>
      </c>
      <c r="S1" s="3" t="s">
        <v>48</v>
      </c>
    </row>
    <row r="2" spans="1:19" ht="18.75" customHeight="1" x14ac:dyDescent="0.35">
      <c r="A2" t="s">
        <v>15</v>
      </c>
      <c r="B2" t="s">
        <v>371</v>
      </c>
      <c r="C2" t="s">
        <v>24</v>
      </c>
      <c r="D2" s="2">
        <v>14</v>
      </c>
      <c r="E2" t="s">
        <v>6</v>
      </c>
      <c r="F2" t="str">
        <f>"RothC model results for year 2030 for "&amp;A2&amp;", "&amp;IF(C2="irr","irrigated","rainfed")</f>
        <v>RothC model results for year 2030 for Apple, irrigated</v>
      </c>
      <c r="G2" t="s">
        <v>26</v>
      </c>
      <c r="H2" t="s">
        <v>374</v>
      </c>
      <c r="I2" t="s">
        <v>375</v>
      </c>
      <c r="J2" t="s">
        <v>376</v>
      </c>
      <c r="M2" t="b">
        <v>0</v>
      </c>
      <c r="N2" t="b">
        <v>0</v>
      </c>
      <c r="O2" s="2">
        <v>100</v>
      </c>
      <c r="P2" t="s">
        <v>357</v>
      </c>
      <c r="Q2" t="s">
        <v>351</v>
      </c>
      <c r="R2" t="s">
        <v>357</v>
      </c>
      <c r="S2" t="s">
        <v>364</v>
      </c>
    </row>
    <row r="3" spans="1:19" ht="18.75" customHeight="1" x14ac:dyDescent="0.35">
      <c r="A3" t="s">
        <v>16</v>
      </c>
      <c r="B3" t="s">
        <v>371</v>
      </c>
      <c r="C3" t="s">
        <v>24</v>
      </c>
      <c r="D3" s="2">
        <v>14</v>
      </c>
      <c r="E3" t="s">
        <v>6</v>
      </c>
      <c r="F3" t="str">
        <f t="shared" ref="F3:F21" si="0">"RothC model results for year 2030 for "&amp;A3&amp;", "&amp;IF(C3="irr","irrigated","rainfed")</f>
        <v>RothC model results for year 2030 for Banana, irrigated</v>
      </c>
      <c r="G3" t="s">
        <v>27</v>
      </c>
      <c r="H3" t="s">
        <v>377</v>
      </c>
      <c r="I3" t="s">
        <v>378</v>
      </c>
      <c r="J3" t="s">
        <v>379</v>
      </c>
      <c r="M3" t="b">
        <v>0</v>
      </c>
      <c r="N3" t="b">
        <v>0</v>
      </c>
      <c r="O3" s="2">
        <v>100</v>
      </c>
      <c r="P3" t="s">
        <v>358</v>
      </c>
      <c r="Q3" t="s">
        <v>49</v>
      </c>
      <c r="R3" t="s">
        <v>358</v>
      </c>
      <c r="S3" t="s">
        <v>365</v>
      </c>
    </row>
    <row r="4" spans="1:19" ht="18.75" customHeight="1" x14ac:dyDescent="0.35">
      <c r="A4" t="s">
        <v>17</v>
      </c>
      <c r="B4" t="s">
        <v>371</v>
      </c>
      <c r="C4" t="s">
        <v>24</v>
      </c>
      <c r="D4" s="2">
        <v>14</v>
      </c>
      <c r="E4" t="s">
        <v>6</v>
      </c>
      <c r="F4" t="str">
        <f t="shared" si="0"/>
        <v>RothC model results for year 2030 for Cocoa, irrigated</v>
      </c>
      <c r="G4" t="s">
        <v>28</v>
      </c>
      <c r="H4" t="s">
        <v>380</v>
      </c>
      <c r="I4" t="s">
        <v>381</v>
      </c>
      <c r="J4" t="s">
        <v>382</v>
      </c>
      <c r="M4" t="b">
        <v>0</v>
      </c>
      <c r="N4" t="b">
        <v>0</v>
      </c>
      <c r="O4" s="2">
        <v>100</v>
      </c>
      <c r="P4" t="s">
        <v>359</v>
      </c>
      <c r="Q4" t="s">
        <v>352</v>
      </c>
      <c r="R4" t="s">
        <v>359</v>
      </c>
      <c r="S4" t="s">
        <v>366</v>
      </c>
    </row>
    <row r="5" spans="1:19" ht="18.75" customHeight="1" x14ac:dyDescent="0.35">
      <c r="A5" t="s">
        <v>18</v>
      </c>
      <c r="B5" t="s">
        <v>371</v>
      </c>
      <c r="C5" t="s">
        <v>24</v>
      </c>
      <c r="D5" s="2">
        <v>14</v>
      </c>
      <c r="E5" t="s">
        <v>6</v>
      </c>
      <c r="F5" t="str">
        <f t="shared" si="0"/>
        <v>RothC model results for year 2030 for Coconut, irrigated</v>
      </c>
      <c r="G5" t="s">
        <v>29</v>
      </c>
      <c r="H5" t="s">
        <v>383</v>
      </c>
      <c r="I5" t="s">
        <v>384</v>
      </c>
      <c r="J5" t="s">
        <v>385</v>
      </c>
      <c r="M5" t="b">
        <v>0</v>
      </c>
      <c r="N5" t="b">
        <v>0</v>
      </c>
      <c r="O5" s="2">
        <v>100</v>
      </c>
      <c r="P5" t="s">
        <v>360</v>
      </c>
      <c r="Q5" t="s">
        <v>353</v>
      </c>
      <c r="R5" t="s">
        <v>360</v>
      </c>
      <c r="S5" t="s">
        <v>367</v>
      </c>
    </row>
    <row r="6" spans="1:19" ht="18.75" customHeight="1" x14ac:dyDescent="0.35">
      <c r="A6" t="s">
        <v>19</v>
      </c>
      <c r="B6" t="s">
        <v>371</v>
      </c>
      <c r="C6" t="s">
        <v>24</v>
      </c>
      <c r="D6" s="2">
        <v>14</v>
      </c>
      <c r="E6" t="s">
        <v>6</v>
      </c>
      <c r="F6" t="str">
        <f t="shared" si="0"/>
        <v>RothC model results for year 2030 for Coffee, irrigated</v>
      </c>
      <c r="G6" t="s">
        <v>30</v>
      </c>
      <c r="H6" t="s">
        <v>386</v>
      </c>
      <c r="I6" t="s">
        <v>387</v>
      </c>
      <c r="J6" t="s">
        <v>388</v>
      </c>
      <c r="M6" t="b">
        <v>0</v>
      </c>
      <c r="N6" t="b">
        <v>0</v>
      </c>
      <c r="O6" s="2">
        <v>100</v>
      </c>
      <c r="P6" t="s">
        <v>361</v>
      </c>
      <c r="Q6" t="s">
        <v>354</v>
      </c>
      <c r="R6" t="s">
        <v>361</v>
      </c>
      <c r="S6" t="s">
        <v>368</v>
      </c>
    </row>
    <row r="7" spans="1:19" ht="18.75" customHeight="1" x14ac:dyDescent="0.35">
      <c r="A7" t="s">
        <v>20</v>
      </c>
      <c r="B7" t="s">
        <v>371</v>
      </c>
      <c r="C7" t="s">
        <v>24</v>
      </c>
      <c r="D7" s="2">
        <v>14</v>
      </c>
      <c r="E7" t="s">
        <v>6</v>
      </c>
      <c r="F7" t="str">
        <f t="shared" si="0"/>
        <v>RothC model results for year 2030 for Grapes, irrigated</v>
      </c>
      <c r="G7" t="s">
        <v>31</v>
      </c>
      <c r="H7" t="s">
        <v>389</v>
      </c>
      <c r="I7" t="s">
        <v>390</v>
      </c>
      <c r="J7" t="s">
        <v>391</v>
      </c>
      <c r="M7" t="b">
        <v>0</v>
      </c>
      <c r="N7" t="b">
        <v>0</v>
      </c>
      <c r="O7" s="2">
        <v>100</v>
      </c>
      <c r="P7" t="s">
        <v>357</v>
      </c>
      <c r="Q7" t="s">
        <v>351</v>
      </c>
      <c r="R7" t="s">
        <v>357</v>
      </c>
      <c r="S7" t="s">
        <v>364</v>
      </c>
    </row>
    <row r="8" spans="1:19" x14ac:dyDescent="0.35">
      <c r="A8" t="s">
        <v>21</v>
      </c>
      <c r="B8" t="s">
        <v>371</v>
      </c>
      <c r="C8" t="s">
        <v>24</v>
      </c>
      <c r="D8" s="2">
        <v>14</v>
      </c>
      <c r="E8" t="s">
        <v>6</v>
      </c>
      <c r="F8" t="str">
        <f t="shared" si="0"/>
        <v>RothC model results for year 2030 for Oil palm, irrigated</v>
      </c>
      <c r="G8" t="s">
        <v>32</v>
      </c>
      <c r="H8" t="s">
        <v>392</v>
      </c>
      <c r="I8" t="s">
        <v>393</v>
      </c>
      <c r="J8" t="s">
        <v>394</v>
      </c>
      <c r="M8" t="b">
        <v>0</v>
      </c>
      <c r="N8" t="b">
        <v>0</v>
      </c>
      <c r="O8" s="2">
        <v>100</v>
      </c>
      <c r="P8" t="s">
        <v>362</v>
      </c>
      <c r="Q8" t="s">
        <v>355</v>
      </c>
      <c r="R8" t="s">
        <v>362</v>
      </c>
      <c r="S8" t="s">
        <v>369</v>
      </c>
    </row>
    <row r="9" spans="1:19" x14ac:dyDescent="0.35">
      <c r="A9" t="s">
        <v>22</v>
      </c>
      <c r="B9" t="s">
        <v>371</v>
      </c>
      <c r="C9" t="s">
        <v>24</v>
      </c>
      <c r="D9" s="2">
        <v>14</v>
      </c>
      <c r="E9" t="s">
        <v>6</v>
      </c>
      <c r="F9" t="str">
        <f t="shared" si="0"/>
        <v>RothC model results for year 2030 for Olive, irrigated</v>
      </c>
      <c r="G9" t="s">
        <v>33</v>
      </c>
      <c r="H9" t="s">
        <v>395</v>
      </c>
      <c r="I9" t="s">
        <v>396</v>
      </c>
      <c r="J9" t="s">
        <v>397</v>
      </c>
      <c r="M9" t="b">
        <v>0</v>
      </c>
      <c r="N9" t="b">
        <v>0</v>
      </c>
      <c r="O9" s="2">
        <v>100</v>
      </c>
      <c r="P9" t="s">
        <v>357</v>
      </c>
      <c r="Q9" t="s">
        <v>351</v>
      </c>
      <c r="R9" t="s">
        <v>357</v>
      </c>
      <c r="S9" t="s">
        <v>364</v>
      </c>
    </row>
    <row r="10" spans="1:19" x14ac:dyDescent="0.35">
      <c r="A10" t="s">
        <v>23</v>
      </c>
      <c r="B10" t="s">
        <v>371</v>
      </c>
      <c r="C10" t="s">
        <v>24</v>
      </c>
      <c r="D10" s="2">
        <v>14</v>
      </c>
      <c r="E10" t="s">
        <v>6</v>
      </c>
      <c r="F10" t="str">
        <f t="shared" si="0"/>
        <v>RothC model results for year 2030 for Orange, irrigated</v>
      </c>
      <c r="G10" t="s">
        <v>34</v>
      </c>
      <c r="H10" t="s">
        <v>398</v>
      </c>
      <c r="I10" t="s">
        <v>399</v>
      </c>
      <c r="J10" t="s">
        <v>400</v>
      </c>
      <c r="M10" t="b">
        <v>0</v>
      </c>
      <c r="N10" t="b">
        <v>0</v>
      </c>
      <c r="O10" s="2">
        <v>100</v>
      </c>
      <c r="P10" t="s">
        <v>363</v>
      </c>
      <c r="Q10" t="s">
        <v>356</v>
      </c>
      <c r="R10" t="s">
        <v>363</v>
      </c>
      <c r="S10" t="s">
        <v>370</v>
      </c>
    </row>
    <row r="11" spans="1:19" x14ac:dyDescent="0.35">
      <c r="A11" t="s">
        <v>15</v>
      </c>
      <c r="B11" t="s">
        <v>371</v>
      </c>
      <c r="C11" t="s">
        <v>25</v>
      </c>
      <c r="D11" s="2">
        <v>14</v>
      </c>
      <c r="E11" t="s">
        <v>6</v>
      </c>
      <c r="F11" t="str">
        <f t="shared" si="0"/>
        <v>RothC model results for year 2030 for Apple, rainfed</v>
      </c>
      <c r="G11" t="s">
        <v>35</v>
      </c>
      <c r="H11" t="s">
        <v>401</v>
      </c>
      <c r="I11" t="s">
        <v>402</v>
      </c>
      <c r="M11" t="b">
        <v>0</v>
      </c>
      <c r="N11" t="b">
        <v>0</v>
      </c>
      <c r="O11" s="2">
        <v>100</v>
      </c>
      <c r="P11" t="s">
        <v>364</v>
      </c>
      <c r="Q11" t="s">
        <v>351</v>
      </c>
      <c r="R11" t="s">
        <v>357</v>
      </c>
      <c r="S11" t="s">
        <v>364</v>
      </c>
    </row>
    <row r="12" spans="1:19" x14ac:dyDescent="0.35">
      <c r="A12" t="s">
        <v>16</v>
      </c>
      <c r="B12" t="s">
        <v>371</v>
      </c>
      <c r="C12" t="s">
        <v>25</v>
      </c>
      <c r="D12" s="2">
        <v>14</v>
      </c>
      <c r="E12" t="s">
        <v>6</v>
      </c>
      <c r="F12" t="str">
        <f t="shared" si="0"/>
        <v>RothC model results for year 2030 for Banana, rainfed</v>
      </c>
      <c r="G12" t="s">
        <v>36</v>
      </c>
      <c r="H12" t="s">
        <v>403</v>
      </c>
      <c r="I12" t="s">
        <v>404</v>
      </c>
      <c r="M12" t="b">
        <v>0</v>
      </c>
      <c r="N12" t="b">
        <v>0</v>
      </c>
      <c r="O12" s="2">
        <v>100</v>
      </c>
      <c r="P12" t="s">
        <v>365</v>
      </c>
      <c r="Q12" t="s">
        <v>49</v>
      </c>
      <c r="R12" t="s">
        <v>358</v>
      </c>
      <c r="S12" t="s">
        <v>365</v>
      </c>
    </row>
    <row r="13" spans="1:19" x14ac:dyDescent="0.35">
      <c r="A13" t="s">
        <v>17</v>
      </c>
      <c r="B13" t="s">
        <v>371</v>
      </c>
      <c r="C13" t="s">
        <v>25</v>
      </c>
      <c r="D13" s="2">
        <v>14</v>
      </c>
      <c r="E13" t="s">
        <v>6</v>
      </c>
      <c r="F13" t="str">
        <f t="shared" si="0"/>
        <v>RothC model results for year 2030 for Cocoa, rainfed</v>
      </c>
      <c r="G13" t="s">
        <v>37</v>
      </c>
      <c r="H13" t="s">
        <v>405</v>
      </c>
      <c r="I13" t="s">
        <v>406</v>
      </c>
      <c r="M13" t="b">
        <v>0</v>
      </c>
      <c r="N13" t="b">
        <v>0</v>
      </c>
      <c r="O13" s="2">
        <v>100</v>
      </c>
      <c r="P13" t="s">
        <v>366</v>
      </c>
      <c r="Q13" t="s">
        <v>352</v>
      </c>
      <c r="R13" t="s">
        <v>359</v>
      </c>
      <c r="S13" t="s">
        <v>366</v>
      </c>
    </row>
    <row r="14" spans="1:19" x14ac:dyDescent="0.35">
      <c r="A14" t="s">
        <v>18</v>
      </c>
      <c r="B14" t="s">
        <v>371</v>
      </c>
      <c r="C14" t="s">
        <v>25</v>
      </c>
      <c r="D14" s="2">
        <v>14</v>
      </c>
      <c r="E14" t="s">
        <v>6</v>
      </c>
      <c r="F14" t="str">
        <f t="shared" si="0"/>
        <v>RothC model results for year 2030 for Coconut, rainfed</v>
      </c>
      <c r="G14" t="s">
        <v>38</v>
      </c>
      <c r="H14" t="s">
        <v>407</v>
      </c>
      <c r="I14" t="s">
        <v>408</v>
      </c>
      <c r="M14" t="b">
        <v>0</v>
      </c>
      <c r="N14" t="b">
        <v>0</v>
      </c>
      <c r="O14" s="2">
        <v>100</v>
      </c>
      <c r="P14" t="s">
        <v>367</v>
      </c>
      <c r="Q14" t="s">
        <v>353</v>
      </c>
      <c r="R14" t="s">
        <v>360</v>
      </c>
      <c r="S14" t="s">
        <v>367</v>
      </c>
    </row>
    <row r="15" spans="1:19" x14ac:dyDescent="0.35">
      <c r="A15" t="s">
        <v>19</v>
      </c>
      <c r="B15" t="s">
        <v>371</v>
      </c>
      <c r="C15" t="s">
        <v>25</v>
      </c>
      <c r="D15" s="2">
        <v>14</v>
      </c>
      <c r="E15" t="s">
        <v>6</v>
      </c>
      <c r="F15" t="str">
        <f t="shared" si="0"/>
        <v>RothC model results for year 2030 for Coffee, rainfed</v>
      </c>
      <c r="G15" t="s">
        <v>39</v>
      </c>
      <c r="H15" t="s">
        <v>409</v>
      </c>
      <c r="I15" t="s">
        <v>410</v>
      </c>
      <c r="M15" t="b">
        <v>0</v>
      </c>
      <c r="N15" t="b">
        <v>0</v>
      </c>
      <c r="O15" s="2">
        <v>100</v>
      </c>
      <c r="P15" t="s">
        <v>368</v>
      </c>
      <c r="Q15" t="s">
        <v>354</v>
      </c>
      <c r="R15" t="s">
        <v>361</v>
      </c>
      <c r="S15" t="s">
        <v>368</v>
      </c>
    </row>
    <row r="16" spans="1:19" x14ac:dyDescent="0.35">
      <c r="A16" t="s">
        <v>20</v>
      </c>
      <c r="B16" t="s">
        <v>371</v>
      </c>
      <c r="C16" t="s">
        <v>25</v>
      </c>
      <c r="D16" s="2">
        <v>14</v>
      </c>
      <c r="E16" t="s">
        <v>6</v>
      </c>
      <c r="F16" t="str">
        <f t="shared" si="0"/>
        <v>RothC model results for year 2030 for Grapes, rainfed</v>
      </c>
      <c r="G16" t="s">
        <v>40</v>
      </c>
      <c r="H16" t="s">
        <v>411</v>
      </c>
      <c r="I16" t="s">
        <v>412</v>
      </c>
      <c r="M16" t="b">
        <v>0</v>
      </c>
      <c r="N16" t="b">
        <v>0</v>
      </c>
      <c r="O16" s="2">
        <v>100</v>
      </c>
      <c r="P16" t="s">
        <v>364</v>
      </c>
      <c r="Q16" t="s">
        <v>351</v>
      </c>
      <c r="R16" t="s">
        <v>357</v>
      </c>
      <c r="S16" t="s">
        <v>364</v>
      </c>
    </row>
    <row r="17" spans="1:19" x14ac:dyDescent="0.35">
      <c r="A17" t="s">
        <v>21</v>
      </c>
      <c r="B17" t="s">
        <v>371</v>
      </c>
      <c r="C17" t="s">
        <v>25</v>
      </c>
      <c r="D17" s="2">
        <v>14</v>
      </c>
      <c r="E17" t="s">
        <v>6</v>
      </c>
      <c r="F17" t="str">
        <f t="shared" si="0"/>
        <v>RothC model results for year 2030 for Oil palm, rainfed</v>
      </c>
      <c r="G17" t="s">
        <v>41</v>
      </c>
      <c r="H17" t="s">
        <v>392</v>
      </c>
      <c r="I17" t="s">
        <v>393</v>
      </c>
      <c r="M17" t="b">
        <v>0</v>
      </c>
      <c r="N17" t="b">
        <v>0</v>
      </c>
      <c r="O17" s="2">
        <v>100</v>
      </c>
      <c r="P17" t="s">
        <v>369</v>
      </c>
      <c r="Q17" t="s">
        <v>355</v>
      </c>
      <c r="R17" t="s">
        <v>362</v>
      </c>
      <c r="S17" t="s">
        <v>369</v>
      </c>
    </row>
    <row r="18" spans="1:19" x14ac:dyDescent="0.35">
      <c r="A18" t="s">
        <v>22</v>
      </c>
      <c r="B18" t="s">
        <v>371</v>
      </c>
      <c r="C18" t="s">
        <v>25</v>
      </c>
      <c r="D18" s="2">
        <v>14</v>
      </c>
      <c r="E18" t="s">
        <v>6</v>
      </c>
      <c r="F18" t="str">
        <f t="shared" si="0"/>
        <v>RothC model results for year 2030 for Olive, rainfed</v>
      </c>
      <c r="G18" t="s">
        <v>42</v>
      </c>
      <c r="H18" t="s">
        <v>413</v>
      </c>
      <c r="I18" t="s">
        <v>414</v>
      </c>
      <c r="M18" t="b">
        <v>0</v>
      </c>
      <c r="N18" t="b">
        <v>0</v>
      </c>
      <c r="O18" s="2">
        <v>100</v>
      </c>
      <c r="P18" t="s">
        <v>364</v>
      </c>
      <c r="Q18" t="s">
        <v>351</v>
      </c>
      <c r="R18" t="s">
        <v>357</v>
      </c>
      <c r="S18" t="s">
        <v>364</v>
      </c>
    </row>
    <row r="19" spans="1:19" x14ac:dyDescent="0.35">
      <c r="A19" t="s">
        <v>23</v>
      </c>
      <c r="B19" t="s">
        <v>371</v>
      </c>
      <c r="C19" t="s">
        <v>25</v>
      </c>
      <c r="D19" s="2">
        <v>14</v>
      </c>
      <c r="E19" t="s">
        <v>6</v>
      </c>
      <c r="F19" t="str">
        <f t="shared" si="0"/>
        <v>RothC model results for year 2030 for Orange, rainfed</v>
      </c>
      <c r="G19" t="s">
        <v>43</v>
      </c>
      <c r="H19" t="s">
        <v>415</v>
      </c>
      <c r="I19" t="s">
        <v>416</v>
      </c>
      <c r="M19" t="b">
        <v>0</v>
      </c>
      <c r="N19" t="b">
        <v>0</v>
      </c>
      <c r="O19" s="2">
        <v>100</v>
      </c>
      <c r="P19" t="s">
        <v>370</v>
      </c>
      <c r="Q19" t="s">
        <v>356</v>
      </c>
      <c r="R19" t="s">
        <v>363</v>
      </c>
      <c r="S19" t="s">
        <v>370</v>
      </c>
    </row>
    <row r="20" spans="1:19" x14ac:dyDescent="0.35">
      <c r="A20" t="s">
        <v>116</v>
      </c>
      <c r="B20" t="s">
        <v>371</v>
      </c>
      <c r="C20" t="s">
        <v>24</v>
      </c>
      <c r="D20" s="1">
        <v>14</v>
      </c>
      <c r="E20" t="s">
        <v>6</v>
      </c>
      <c r="F20" t="str">
        <f t="shared" si="0"/>
        <v>RothC model results for year 2030 for Sugarcane, irrigated</v>
      </c>
      <c r="G20" t="s">
        <v>372</v>
      </c>
      <c r="H20" t="s">
        <v>417</v>
      </c>
      <c r="I20" t="s">
        <v>418</v>
      </c>
      <c r="J20" t="s">
        <v>419</v>
      </c>
      <c r="M20" t="b">
        <v>0</v>
      </c>
      <c r="N20" t="b">
        <v>0</v>
      </c>
      <c r="O20" s="2">
        <v>100</v>
      </c>
      <c r="P20" t="s">
        <v>422</v>
      </c>
      <c r="Q20" t="s">
        <v>424</v>
      </c>
      <c r="R20" t="s">
        <v>422</v>
      </c>
      <c r="S20" t="s">
        <v>423</v>
      </c>
    </row>
    <row r="21" spans="1:19" x14ac:dyDescent="0.35">
      <c r="A21" t="s">
        <v>116</v>
      </c>
      <c r="B21" t="s">
        <v>371</v>
      </c>
      <c r="C21" t="s">
        <v>25</v>
      </c>
      <c r="D21" s="1">
        <v>14</v>
      </c>
      <c r="E21" t="s">
        <v>6</v>
      </c>
      <c r="F21" t="str">
        <f t="shared" si="0"/>
        <v>RothC model results for year 2030 for Sugarcane, rainfed</v>
      </c>
      <c r="G21" t="s">
        <v>373</v>
      </c>
      <c r="H21" t="s">
        <v>420</v>
      </c>
      <c r="I21" t="s">
        <v>421</v>
      </c>
      <c r="M21" t="b">
        <v>0</v>
      </c>
      <c r="N21" t="b">
        <v>0</v>
      </c>
      <c r="O21" s="2">
        <v>100</v>
      </c>
      <c r="P21" t="s">
        <v>423</v>
      </c>
      <c r="Q21" t="s">
        <v>424</v>
      </c>
      <c r="R21" t="s">
        <v>422</v>
      </c>
      <c r="S21" t="s">
        <v>423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4EB9-21DD-4B5F-A6F2-72FBEF5CFE51}">
  <dimension ref="A1:E29"/>
  <sheetViews>
    <sheetView topLeftCell="A12" workbookViewId="0">
      <selection activeCell="C17" sqref="C17"/>
    </sheetView>
  </sheetViews>
  <sheetFormatPr defaultRowHeight="14.5" x14ac:dyDescent="0.35"/>
  <cols>
    <col min="1" max="1" width="11.81640625" bestFit="1" customWidth="1"/>
    <col min="4" max="4" width="15.1796875" bestFit="1" customWidth="1"/>
  </cols>
  <sheetData>
    <row r="1" spans="1:5" x14ac:dyDescent="0.35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</row>
    <row r="2" spans="1:5" x14ac:dyDescent="0.35">
      <c r="A2" t="s">
        <v>15</v>
      </c>
      <c r="B2" t="s">
        <v>55</v>
      </c>
      <c r="C2" t="s">
        <v>56</v>
      </c>
      <c r="D2" t="s">
        <v>57</v>
      </c>
      <c r="E2" t="s">
        <v>15</v>
      </c>
    </row>
    <row r="3" spans="1:5" x14ac:dyDescent="0.35">
      <c r="A3" t="s">
        <v>16</v>
      </c>
      <c r="B3" t="s">
        <v>58</v>
      </c>
      <c r="C3" t="s">
        <v>59</v>
      </c>
      <c r="D3" t="s">
        <v>16</v>
      </c>
      <c r="E3" t="s">
        <v>16</v>
      </c>
    </row>
    <row r="4" spans="1:5" x14ac:dyDescent="0.35">
      <c r="A4" t="s">
        <v>60</v>
      </c>
      <c r="B4" t="s">
        <v>60</v>
      </c>
      <c r="C4" t="s">
        <v>61</v>
      </c>
      <c r="D4" t="s">
        <v>60</v>
      </c>
      <c r="E4" t="s">
        <v>60</v>
      </c>
    </row>
    <row r="5" spans="1:5" x14ac:dyDescent="0.35">
      <c r="A5" t="s">
        <v>62</v>
      </c>
      <c r="B5" t="s">
        <v>63</v>
      </c>
      <c r="C5" t="s">
        <v>64</v>
      </c>
      <c r="D5" t="s">
        <v>65</v>
      </c>
      <c r="E5" t="s">
        <v>62</v>
      </c>
    </row>
    <row r="6" spans="1:5" x14ac:dyDescent="0.35">
      <c r="A6" t="s">
        <v>66</v>
      </c>
      <c r="B6" t="s">
        <v>67</v>
      </c>
      <c r="C6" t="s">
        <v>68</v>
      </c>
      <c r="D6" t="s">
        <v>69</v>
      </c>
      <c r="E6" t="s">
        <v>66</v>
      </c>
    </row>
    <row r="7" spans="1:5" x14ac:dyDescent="0.35">
      <c r="A7" t="s">
        <v>17</v>
      </c>
      <c r="B7" t="s">
        <v>70</v>
      </c>
      <c r="C7" t="s">
        <v>71</v>
      </c>
      <c r="D7" t="s">
        <v>17</v>
      </c>
      <c r="E7" t="s">
        <v>17</v>
      </c>
    </row>
    <row r="8" spans="1:5" x14ac:dyDescent="0.35">
      <c r="A8" t="s">
        <v>18</v>
      </c>
      <c r="B8" t="s">
        <v>72</v>
      </c>
      <c r="C8" t="s">
        <v>73</v>
      </c>
      <c r="D8" t="s">
        <v>18</v>
      </c>
      <c r="E8" t="s">
        <v>18</v>
      </c>
    </row>
    <row r="9" spans="1:5" x14ac:dyDescent="0.35">
      <c r="A9" t="s">
        <v>19</v>
      </c>
      <c r="B9" t="s">
        <v>74</v>
      </c>
      <c r="C9" t="s">
        <v>75</v>
      </c>
      <c r="D9" t="s">
        <v>76</v>
      </c>
      <c r="E9" t="s">
        <v>19</v>
      </c>
    </row>
    <row r="10" spans="1:5" x14ac:dyDescent="0.35">
      <c r="A10" t="s">
        <v>77</v>
      </c>
      <c r="B10" t="s">
        <v>78</v>
      </c>
      <c r="C10" t="s">
        <v>79</v>
      </c>
      <c r="D10" t="s">
        <v>77</v>
      </c>
      <c r="E10" t="s">
        <v>77</v>
      </c>
    </row>
    <row r="11" spans="1:5" x14ac:dyDescent="0.35">
      <c r="A11" t="s">
        <v>20</v>
      </c>
      <c r="B11" t="s">
        <v>20</v>
      </c>
      <c r="C11" t="s">
        <v>56</v>
      </c>
      <c r="D11" t="s">
        <v>57</v>
      </c>
      <c r="E11" t="s">
        <v>20</v>
      </c>
    </row>
    <row r="12" spans="1:5" x14ac:dyDescent="0.35">
      <c r="A12" t="s">
        <v>80</v>
      </c>
      <c r="B12" t="s">
        <v>81</v>
      </c>
      <c r="C12" t="s">
        <v>82</v>
      </c>
      <c r="D12" t="s">
        <v>80</v>
      </c>
      <c r="E12" t="s">
        <v>83</v>
      </c>
    </row>
    <row r="13" spans="1:5" x14ac:dyDescent="0.35">
      <c r="A13" t="s">
        <v>84</v>
      </c>
      <c r="B13" t="s">
        <v>85</v>
      </c>
      <c r="C13" t="s">
        <v>86</v>
      </c>
      <c r="D13" t="s">
        <v>84</v>
      </c>
      <c r="E13" t="s">
        <v>84</v>
      </c>
    </row>
    <row r="14" spans="1:5" x14ac:dyDescent="0.35">
      <c r="A14" t="s">
        <v>21</v>
      </c>
      <c r="B14" t="s">
        <v>87</v>
      </c>
      <c r="C14" t="s">
        <v>88</v>
      </c>
      <c r="D14" t="s">
        <v>89</v>
      </c>
      <c r="E14" t="s">
        <v>21</v>
      </c>
    </row>
    <row r="15" spans="1:5" x14ac:dyDescent="0.35">
      <c r="A15" t="s">
        <v>22</v>
      </c>
      <c r="B15" t="s">
        <v>90</v>
      </c>
      <c r="C15" t="s">
        <v>56</v>
      </c>
      <c r="D15" t="s">
        <v>57</v>
      </c>
      <c r="E15" t="s">
        <v>22</v>
      </c>
    </row>
    <row r="16" spans="1:5" x14ac:dyDescent="0.35">
      <c r="A16" t="s">
        <v>91</v>
      </c>
      <c r="B16" t="s">
        <v>92</v>
      </c>
      <c r="C16" t="s">
        <v>93</v>
      </c>
      <c r="D16" t="s">
        <v>91</v>
      </c>
      <c r="E16" t="s">
        <v>91</v>
      </c>
    </row>
    <row r="17" spans="1:5" x14ac:dyDescent="0.35">
      <c r="A17" t="s">
        <v>23</v>
      </c>
      <c r="B17" t="s">
        <v>94</v>
      </c>
      <c r="C17" t="s">
        <v>95</v>
      </c>
      <c r="D17" t="s">
        <v>96</v>
      </c>
      <c r="E17" t="s">
        <v>23</v>
      </c>
    </row>
    <row r="18" spans="1:5" x14ac:dyDescent="0.35">
      <c r="A18" t="s">
        <v>97</v>
      </c>
      <c r="B18" t="s">
        <v>98</v>
      </c>
      <c r="C18" t="s">
        <v>99</v>
      </c>
      <c r="D18" t="s">
        <v>97</v>
      </c>
      <c r="E18" t="s">
        <v>100</v>
      </c>
    </row>
    <row r="19" spans="1:5" x14ac:dyDescent="0.35">
      <c r="A19" t="s">
        <v>101</v>
      </c>
      <c r="B19" t="s">
        <v>102</v>
      </c>
      <c r="C19" t="s">
        <v>103</v>
      </c>
      <c r="D19" t="s">
        <v>101</v>
      </c>
      <c r="E19" t="s">
        <v>104</v>
      </c>
    </row>
    <row r="20" spans="1:5" x14ac:dyDescent="0.35">
      <c r="A20" t="s">
        <v>105</v>
      </c>
      <c r="B20" t="s">
        <v>105</v>
      </c>
      <c r="C20" t="s">
        <v>106</v>
      </c>
      <c r="D20" t="s">
        <v>105</v>
      </c>
      <c r="E20" t="s">
        <v>105</v>
      </c>
    </row>
    <row r="21" spans="1:5" x14ac:dyDescent="0.35">
      <c r="A21" t="s">
        <v>107</v>
      </c>
      <c r="B21" t="s">
        <v>107</v>
      </c>
      <c r="C21" t="s">
        <v>108</v>
      </c>
      <c r="D21" t="s">
        <v>107</v>
      </c>
      <c r="E21" t="s">
        <v>107</v>
      </c>
    </row>
    <row r="22" spans="1:5" x14ac:dyDescent="0.35">
      <c r="A22" t="s">
        <v>109</v>
      </c>
      <c r="B22" t="s">
        <v>110</v>
      </c>
      <c r="C22" t="s">
        <v>111</v>
      </c>
      <c r="D22" t="s">
        <v>109</v>
      </c>
      <c r="E22" t="s">
        <v>112</v>
      </c>
    </row>
    <row r="23" spans="1:5" x14ac:dyDescent="0.35">
      <c r="A23" t="s">
        <v>113</v>
      </c>
      <c r="B23" t="s">
        <v>114</v>
      </c>
      <c r="C23" t="s">
        <v>115</v>
      </c>
      <c r="D23" t="s">
        <v>113</v>
      </c>
      <c r="E23" t="s">
        <v>113</v>
      </c>
    </row>
    <row r="24" spans="1:5" x14ac:dyDescent="0.35">
      <c r="A24" t="s">
        <v>116</v>
      </c>
      <c r="B24" t="s">
        <v>117</v>
      </c>
      <c r="C24" t="s">
        <v>118</v>
      </c>
      <c r="D24" t="s">
        <v>116</v>
      </c>
      <c r="E24" t="s">
        <v>116</v>
      </c>
    </row>
    <row r="25" spans="1:5" x14ac:dyDescent="0.35">
      <c r="A25" t="s">
        <v>119</v>
      </c>
      <c r="B25" t="s">
        <v>120</v>
      </c>
      <c r="C25" t="s">
        <v>121</v>
      </c>
      <c r="D25" t="s">
        <v>119</v>
      </c>
      <c r="E25" t="s">
        <v>119</v>
      </c>
    </row>
    <row r="26" spans="1:5" x14ac:dyDescent="0.35">
      <c r="A26" t="s">
        <v>122</v>
      </c>
      <c r="B26" t="s">
        <v>123</v>
      </c>
      <c r="C26" t="s">
        <v>124</v>
      </c>
      <c r="D26" t="s">
        <v>125</v>
      </c>
      <c r="E26" t="s">
        <v>100</v>
      </c>
    </row>
    <row r="27" spans="1:5" x14ac:dyDescent="0.35">
      <c r="A27" t="s">
        <v>126</v>
      </c>
      <c r="B27" t="s">
        <v>127</v>
      </c>
      <c r="C27" t="s">
        <v>128</v>
      </c>
      <c r="D27" t="s">
        <v>126</v>
      </c>
      <c r="E27" t="s">
        <v>126</v>
      </c>
    </row>
    <row r="28" spans="1:5" x14ac:dyDescent="0.35">
      <c r="A28" t="s">
        <v>129</v>
      </c>
      <c r="B28" t="s">
        <v>130</v>
      </c>
      <c r="C28" t="s">
        <v>131</v>
      </c>
      <c r="D28" t="s">
        <v>129</v>
      </c>
      <c r="E28" t="s">
        <v>129</v>
      </c>
    </row>
    <row r="29" spans="1:5" x14ac:dyDescent="0.35">
      <c r="A29" t="s">
        <v>132</v>
      </c>
      <c r="B29" t="s">
        <v>132</v>
      </c>
      <c r="C29" t="s">
        <v>133</v>
      </c>
      <c r="D29" t="s">
        <v>132</v>
      </c>
      <c r="E29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8A13-C168-47A9-B055-F9F9AF732878}">
  <dimension ref="A1:F139"/>
  <sheetViews>
    <sheetView topLeftCell="A103" workbookViewId="0">
      <selection activeCell="A107" sqref="A107:A109"/>
    </sheetView>
  </sheetViews>
  <sheetFormatPr defaultRowHeight="14.5" x14ac:dyDescent="0.35"/>
  <cols>
    <col min="1" max="1" width="33.453125" bestFit="1" customWidth="1"/>
  </cols>
  <sheetData>
    <row r="1" spans="1:6" x14ac:dyDescent="0.35">
      <c r="A1" t="s">
        <v>135</v>
      </c>
      <c r="B1" t="s">
        <v>136</v>
      </c>
      <c r="C1" t="s">
        <v>53</v>
      </c>
      <c r="D1" t="s">
        <v>137</v>
      </c>
      <c r="E1" t="s">
        <v>138</v>
      </c>
      <c r="F1" t="s">
        <v>139</v>
      </c>
    </row>
    <row r="2" spans="1:6" x14ac:dyDescent="0.35">
      <c r="A2" t="s">
        <v>140</v>
      </c>
      <c r="B2" t="s">
        <v>141</v>
      </c>
      <c r="C2" t="s">
        <v>142</v>
      </c>
      <c r="D2" t="s">
        <v>16</v>
      </c>
      <c r="E2" t="s">
        <v>143</v>
      </c>
      <c r="F2" t="s">
        <v>144</v>
      </c>
    </row>
    <row r="3" spans="1:6" x14ac:dyDescent="0.35">
      <c r="A3" t="s">
        <v>145</v>
      </c>
      <c r="B3" t="s">
        <v>141</v>
      </c>
      <c r="C3" t="s">
        <v>142</v>
      </c>
      <c r="D3" t="s">
        <v>16</v>
      </c>
      <c r="E3" t="s">
        <v>146</v>
      </c>
      <c r="F3" t="s">
        <v>147</v>
      </c>
    </row>
    <row r="4" spans="1:6" x14ac:dyDescent="0.35">
      <c r="A4" t="s">
        <v>148</v>
      </c>
      <c r="B4" t="s">
        <v>141</v>
      </c>
      <c r="C4" t="s">
        <v>142</v>
      </c>
      <c r="D4" t="s">
        <v>16</v>
      </c>
      <c r="E4" t="s">
        <v>149</v>
      </c>
      <c r="F4" t="s">
        <v>150</v>
      </c>
    </row>
    <row r="5" spans="1:6" x14ac:dyDescent="0.35">
      <c r="A5" t="s">
        <v>151</v>
      </c>
      <c r="B5" t="s">
        <v>141</v>
      </c>
      <c r="C5" t="s">
        <v>152</v>
      </c>
      <c r="D5" t="s">
        <v>60</v>
      </c>
      <c r="E5" t="s">
        <v>143</v>
      </c>
      <c r="F5" t="s">
        <v>144</v>
      </c>
    </row>
    <row r="6" spans="1:6" x14ac:dyDescent="0.35">
      <c r="A6" t="s">
        <v>153</v>
      </c>
      <c r="B6" t="s">
        <v>141</v>
      </c>
      <c r="C6" t="s">
        <v>152</v>
      </c>
      <c r="D6" t="s">
        <v>60</v>
      </c>
      <c r="E6" t="s">
        <v>146</v>
      </c>
      <c r="F6" t="s">
        <v>147</v>
      </c>
    </row>
    <row r="7" spans="1:6" x14ac:dyDescent="0.35">
      <c r="A7" t="s">
        <v>154</v>
      </c>
      <c r="B7" t="s">
        <v>141</v>
      </c>
      <c r="C7" t="s">
        <v>152</v>
      </c>
      <c r="D7" t="s">
        <v>60</v>
      </c>
      <c r="E7" t="s">
        <v>149</v>
      </c>
      <c r="F7" t="s">
        <v>150</v>
      </c>
    </row>
    <row r="8" spans="1:6" x14ac:dyDescent="0.35">
      <c r="A8" t="s">
        <v>155</v>
      </c>
      <c r="B8" t="s">
        <v>141</v>
      </c>
      <c r="C8" t="s">
        <v>156</v>
      </c>
      <c r="D8" t="s">
        <v>157</v>
      </c>
      <c r="E8" t="s">
        <v>143</v>
      </c>
      <c r="F8" t="s">
        <v>144</v>
      </c>
    </row>
    <row r="9" spans="1:6" x14ac:dyDescent="0.35">
      <c r="A9" t="s">
        <v>158</v>
      </c>
      <c r="B9" t="s">
        <v>141</v>
      </c>
      <c r="C9" t="s">
        <v>156</v>
      </c>
      <c r="D9" t="s">
        <v>157</v>
      </c>
      <c r="E9" t="s">
        <v>146</v>
      </c>
      <c r="F9" t="s">
        <v>147</v>
      </c>
    </row>
    <row r="10" spans="1:6" x14ac:dyDescent="0.35">
      <c r="A10" t="s">
        <v>159</v>
      </c>
      <c r="B10" t="s">
        <v>141</v>
      </c>
      <c r="C10" t="s">
        <v>156</v>
      </c>
      <c r="D10" t="s">
        <v>157</v>
      </c>
      <c r="E10" t="s">
        <v>149</v>
      </c>
      <c r="F10" t="s">
        <v>150</v>
      </c>
    </row>
    <row r="11" spans="1:6" x14ac:dyDescent="0.35">
      <c r="A11" t="s">
        <v>160</v>
      </c>
      <c r="B11" t="s">
        <v>141</v>
      </c>
      <c r="C11" t="s">
        <v>161</v>
      </c>
      <c r="D11" t="s">
        <v>162</v>
      </c>
      <c r="E11" t="s">
        <v>143</v>
      </c>
      <c r="F11" t="s">
        <v>144</v>
      </c>
    </row>
    <row r="12" spans="1:6" x14ac:dyDescent="0.35">
      <c r="A12" t="s">
        <v>163</v>
      </c>
      <c r="B12" t="s">
        <v>141</v>
      </c>
      <c r="C12" t="s">
        <v>161</v>
      </c>
      <c r="D12" t="s">
        <v>162</v>
      </c>
      <c r="E12" t="s">
        <v>146</v>
      </c>
      <c r="F12" t="s">
        <v>147</v>
      </c>
    </row>
    <row r="13" spans="1:6" x14ac:dyDescent="0.35">
      <c r="A13" t="s">
        <v>164</v>
      </c>
      <c r="B13" t="s">
        <v>141</v>
      </c>
      <c r="C13" t="s">
        <v>161</v>
      </c>
      <c r="D13" t="s">
        <v>162</v>
      </c>
      <c r="E13" t="s">
        <v>149</v>
      </c>
      <c r="F13" t="s">
        <v>150</v>
      </c>
    </row>
    <row r="14" spans="1:6" x14ac:dyDescent="0.35">
      <c r="A14" t="s">
        <v>165</v>
      </c>
      <c r="B14" t="s">
        <v>141</v>
      </c>
      <c r="C14" t="s">
        <v>166</v>
      </c>
      <c r="D14" t="s">
        <v>167</v>
      </c>
      <c r="E14" t="s">
        <v>143</v>
      </c>
      <c r="F14" t="s">
        <v>144</v>
      </c>
    </row>
    <row r="15" spans="1:6" x14ac:dyDescent="0.35">
      <c r="A15" t="s">
        <v>168</v>
      </c>
      <c r="B15" t="s">
        <v>141</v>
      </c>
      <c r="C15" t="s">
        <v>166</v>
      </c>
      <c r="D15" t="s">
        <v>167</v>
      </c>
      <c r="E15" t="s">
        <v>146</v>
      </c>
      <c r="F15" t="s">
        <v>147</v>
      </c>
    </row>
    <row r="16" spans="1:6" x14ac:dyDescent="0.35">
      <c r="A16" t="s">
        <v>169</v>
      </c>
      <c r="B16" t="s">
        <v>141</v>
      </c>
      <c r="C16" t="s">
        <v>166</v>
      </c>
      <c r="D16" t="s">
        <v>167</v>
      </c>
      <c r="E16" t="s">
        <v>149</v>
      </c>
      <c r="F16" t="s">
        <v>150</v>
      </c>
    </row>
    <row r="17" spans="1:6" x14ac:dyDescent="0.35">
      <c r="A17" t="s">
        <v>170</v>
      </c>
      <c r="B17" t="s">
        <v>141</v>
      </c>
      <c r="C17" t="s">
        <v>171</v>
      </c>
      <c r="D17" t="s">
        <v>96</v>
      </c>
      <c r="E17" t="s">
        <v>143</v>
      </c>
      <c r="F17" t="s">
        <v>144</v>
      </c>
    </row>
    <row r="18" spans="1:6" x14ac:dyDescent="0.35">
      <c r="A18" t="s">
        <v>172</v>
      </c>
      <c r="B18" t="s">
        <v>141</v>
      </c>
      <c r="C18" t="s">
        <v>171</v>
      </c>
      <c r="D18" t="s">
        <v>96</v>
      </c>
      <c r="E18" t="s">
        <v>146</v>
      </c>
      <c r="F18" t="s">
        <v>147</v>
      </c>
    </row>
    <row r="19" spans="1:6" x14ac:dyDescent="0.35">
      <c r="A19" t="s">
        <v>173</v>
      </c>
      <c r="B19" t="s">
        <v>141</v>
      </c>
      <c r="C19" t="s">
        <v>171</v>
      </c>
      <c r="D19" t="s">
        <v>96</v>
      </c>
      <c r="E19" t="s">
        <v>149</v>
      </c>
      <c r="F19" t="s">
        <v>150</v>
      </c>
    </row>
    <row r="20" spans="1:6" x14ac:dyDescent="0.35">
      <c r="A20" t="s">
        <v>174</v>
      </c>
      <c r="B20" t="s">
        <v>141</v>
      </c>
      <c r="C20" t="s">
        <v>175</v>
      </c>
      <c r="D20" t="s">
        <v>18</v>
      </c>
      <c r="E20" t="s">
        <v>143</v>
      </c>
      <c r="F20" t="s">
        <v>144</v>
      </c>
    </row>
    <row r="21" spans="1:6" x14ac:dyDescent="0.35">
      <c r="A21" t="s">
        <v>176</v>
      </c>
      <c r="B21" t="s">
        <v>141</v>
      </c>
      <c r="C21" t="s">
        <v>175</v>
      </c>
      <c r="D21" t="s">
        <v>18</v>
      </c>
      <c r="E21" t="s">
        <v>146</v>
      </c>
      <c r="F21" t="s">
        <v>147</v>
      </c>
    </row>
    <row r="22" spans="1:6" x14ac:dyDescent="0.35">
      <c r="A22" t="s">
        <v>177</v>
      </c>
      <c r="B22" t="s">
        <v>141</v>
      </c>
      <c r="C22" t="s">
        <v>175</v>
      </c>
      <c r="D22" t="s">
        <v>18</v>
      </c>
      <c r="E22" t="s">
        <v>149</v>
      </c>
      <c r="F22" t="s">
        <v>150</v>
      </c>
    </row>
    <row r="23" spans="1:6" x14ac:dyDescent="0.35">
      <c r="A23" t="s">
        <v>178</v>
      </c>
      <c r="B23" t="s">
        <v>141</v>
      </c>
      <c r="C23" t="s">
        <v>179</v>
      </c>
      <c r="D23" t="s">
        <v>17</v>
      </c>
      <c r="E23" t="s">
        <v>143</v>
      </c>
      <c r="F23" t="s">
        <v>144</v>
      </c>
    </row>
    <row r="24" spans="1:6" x14ac:dyDescent="0.35">
      <c r="A24" t="s">
        <v>180</v>
      </c>
      <c r="B24" t="s">
        <v>141</v>
      </c>
      <c r="C24" t="s">
        <v>179</v>
      </c>
      <c r="D24" t="s">
        <v>17</v>
      </c>
      <c r="E24" t="s">
        <v>146</v>
      </c>
      <c r="F24" t="s">
        <v>147</v>
      </c>
    </row>
    <row r="25" spans="1:6" x14ac:dyDescent="0.35">
      <c r="A25" t="s">
        <v>181</v>
      </c>
      <c r="B25" t="s">
        <v>141</v>
      </c>
      <c r="C25" t="s">
        <v>179</v>
      </c>
      <c r="D25" t="s">
        <v>17</v>
      </c>
      <c r="E25" t="s">
        <v>149</v>
      </c>
      <c r="F25" t="s">
        <v>150</v>
      </c>
    </row>
    <row r="26" spans="1:6" x14ac:dyDescent="0.35">
      <c r="A26" t="s">
        <v>182</v>
      </c>
      <c r="B26" t="s">
        <v>141</v>
      </c>
      <c r="C26" t="s">
        <v>183</v>
      </c>
      <c r="D26" t="s">
        <v>76</v>
      </c>
      <c r="E26" t="s">
        <v>143</v>
      </c>
      <c r="F26" t="s">
        <v>144</v>
      </c>
    </row>
    <row r="27" spans="1:6" x14ac:dyDescent="0.35">
      <c r="A27" t="s">
        <v>184</v>
      </c>
      <c r="B27" t="s">
        <v>141</v>
      </c>
      <c r="C27" t="s">
        <v>183</v>
      </c>
      <c r="D27" t="s">
        <v>76</v>
      </c>
      <c r="E27" t="s">
        <v>146</v>
      </c>
      <c r="F27" t="s">
        <v>147</v>
      </c>
    </row>
    <row r="28" spans="1:6" x14ac:dyDescent="0.35">
      <c r="A28" t="s">
        <v>185</v>
      </c>
      <c r="B28" t="s">
        <v>141</v>
      </c>
      <c r="C28" t="s">
        <v>183</v>
      </c>
      <c r="D28" t="s">
        <v>76</v>
      </c>
      <c r="E28" t="s">
        <v>149</v>
      </c>
      <c r="F28" t="s">
        <v>150</v>
      </c>
    </row>
    <row r="29" spans="1:6" x14ac:dyDescent="0.35">
      <c r="A29" t="s">
        <v>186</v>
      </c>
      <c r="B29" t="s">
        <v>141</v>
      </c>
      <c r="C29" t="s">
        <v>187</v>
      </c>
      <c r="D29" t="s">
        <v>77</v>
      </c>
      <c r="E29" t="s">
        <v>143</v>
      </c>
      <c r="F29" t="s">
        <v>144</v>
      </c>
    </row>
    <row r="30" spans="1:6" x14ac:dyDescent="0.35">
      <c r="A30" t="s">
        <v>188</v>
      </c>
      <c r="B30" t="s">
        <v>141</v>
      </c>
      <c r="C30" t="s">
        <v>187</v>
      </c>
      <c r="D30" t="s">
        <v>77</v>
      </c>
      <c r="E30" t="s">
        <v>146</v>
      </c>
      <c r="F30" t="s">
        <v>147</v>
      </c>
    </row>
    <row r="31" spans="1:6" x14ac:dyDescent="0.35">
      <c r="A31" t="s">
        <v>189</v>
      </c>
      <c r="B31" t="s">
        <v>141</v>
      </c>
      <c r="C31" t="s">
        <v>187</v>
      </c>
      <c r="D31" t="s">
        <v>77</v>
      </c>
      <c r="E31" t="s">
        <v>149</v>
      </c>
      <c r="F31" t="s">
        <v>150</v>
      </c>
    </row>
    <row r="32" spans="1:6" x14ac:dyDescent="0.35">
      <c r="A32" t="s">
        <v>190</v>
      </c>
      <c r="B32" t="s">
        <v>141</v>
      </c>
      <c r="C32" t="s">
        <v>191</v>
      </c>
      <c r="D32" t="s">
        <v>192</v>
      </c>
      <c r="E32" t="s">
        <v>143</v>
      </c>
      <c r="F32" t="s">
        <v>144</v>
      </c>
    </row>
    <row r="33" spans="1:6" x14ac:dyDescent="0.35">
      <c r="A33" t="s">
        <v>193</v>
      </c>
      <c r="B33" t="s">
        <v>141</v>
      </c>
      <c r="C33" t="s">
        <v>191</v>
      </c>
      <c r="D33" t="s">
        <v>192</v>
      </c>
      <c r="E33" t="s">
        <v>146</v>
      </c>
      <c r="F33" t="s">
        <v>147</v>
      </c>
    </row>
    <row r="34" spans="1:6" x14ac:dyDescent="0.35">
      <c r="A34" t="s">
        <v>194</v>
      </c>
      <c r="B34" t="s">
        <v>141</v>
      </c>
      <c r="C34" t="s">
        <v>191</v>
      </c>
      <c r="D34" t="s">
        <v>192</v>
      </c>
      <c r="E34" t="s">
        <v>149</v>
      </c>
      <c r="F34" t="s">
        <v>150</v>
      </c>
    </row>
    <row r="35" spans="1:6" x14ac:dyDescent="0.35">
      <c r="A35" t="s">
        <v>195</v>
      </c>
      <c r="B35" t="s">
        <v>141</v>
      </c>
      <c r="C35" t="s">
        <v>196</v>
      </c>
      <c r="D35" t="s">
        <v>80</v>
      </c>
      <c r="E35" t="s">
        <v>143</v>
      </c>
      <c r="F35" t="s">
        <v>144</v>
      </c>
    </row>
    <row r="36" spans="1:6" x14ac:dyDescent="0.35">
      <c r="A36" t="s">
        <v>197</v>
      </c>
      <c r="B36" t="s">
        <v>141</v>
      </c>
      <c r="C36" t="s">
        <v>196</v>
      </c>
      <c r="D36" t="s">
        <v>80</v>
      </c>
      <c r="E36" t="s">
        <v>146</v>
      </c>
      <c r="F36" t="s">
        <v>147</v>
      </c>
    </row>
    <row r="37" spans="1:6" x14ac:dyDescent="0.35">
      <c r="A37" t="s">
        <v>198</v>
      </c>
      <c r="B37" t="s">
        <v>141</v>
      </c>
      <c r="C37" t="s">
        <v>196</v>
      </c>
      <c r="D37" t="s">
        <v>80</v>
      </c>
      <c r="E37" t="s">
        <v>149</v>
      </c>
      <c r="F37" t="s">
        <v>150</v>
      </c>
    </row>
    <row r="38" spans="1:6" x14ac:dyDescent="0.35">
      <c r="A38" t="s">
        <v>199</v>
      </c>
      <c r="B38" t="s">
        <v>141</v>
      </c>
      <c r="C38" t="s">
        <v>200</v>
      </c>
      <c r="D38" t="s">
        <v>201</v>
      </c>
      <c r="E38" t="s">
        <v>143</v>
      </c>
      <c r="F38" t="s">
        <v>144</v>
      </c>
    </row>
    <row r="39" spans="1:6" x14ac:dyDescent="0.35">
      <c r="A39" t="s">
        <v>202</v>
      </c>
      <c r="B39" t="s">
        <v>141</v>
      </c>
      <c r="C39" t="s">
        <v>200</v>
      </c>
      <c r="D39" t="s">
        <v>201</v>
      </c>
      <c r="E39" t="s">
        <v>146</v>
      </c>
      <c r="F39" t="s">
        <v>147</v>
      </c>
    </row>
    <row r="40" spans="1:6" x14ac:dyDescent="0.35">
      <c r="A40" t="s">
        <v>203</v>
      </c>
      <c r="B40" t="s">
        <v>141</v>
      </c>
      <c r="C40" t="s">
        <v>200</v>
      </c>
      <c r="D40" t="s">
        <v>201</v>
      </c>
      <c r="E40" t="s">
        <v>149</v>
      </c>
      <c r="F40" t="s">
        <v>150</v>
      </c>
    </row>
    <row r="41" spans="1:6" x14ac:dyDescent="0.35">
      <c r="A41" t="s">
        <v>204</v>
      </c>
      <c r="B41" t="s">
        <v>141</v>
      </c>
      <c r="C41" t="s">
        <v>205</v>
      </c>
      <c r="D41" t="s">
        <v>84</v>
      </c>
      <c r="E41" t="s">
        <v>143</v>
      </c>
      <c r="F41" t="s">
        <v>144</v>
      </c>
    </row>
    <row r="42" spans="1:6" x14ac:dyDescent="0.35">
      <c r="A42" t="s">
        <v>206</v>
      </c>
      <c r="B42" t="s">
        <v>141</v>
      </c>
      <c r="C42" t="s">
        <v>205</v>
      </c>
      <c r="D42" t="s">
        <v>84</v>
      </c>
      <c r="E42" t="s">
        <v>146</v>
      </c>
      <c r="F42" t="s">
        <v>147</v>
      </c>
    </row>
    <row r="43" spans="1:6" x14ac:dyDescent="0.35">
      <c r="A43" t="s">
        <v>207</v>
      </c>
      <c r="B43" t="s">
        <v>141</v>
      </c>
      <c r="C43" t="s">
        <v>205</v>
      </c>
      <c r="D43" t="s">
        <v>84</v>
      </c>
      <c r="E43" t="s">
        <v>149</v>
      </c>
      <c r="F43" t="s">
        <v>150</v>
      </c>
    </row>
    <row r="44" spans="1:6" x14ac:dyDescent="0.35">
      <c r="A44" t="s">
        <v>208</v>
      </c>
      <c r="B44" t="s">
        <v>141</v>
      </c>
      <c r="C44" t="s">
        <v>209</v>
      </c>
      <c r="D44" t="s">
        <v>210</v>
      </c>
      <c r="E44" t="s">
        <v>143</v>
      </c>
      <c r="F44" t="s">
        <v>144</v>
      </c>
    </row>
    <row r="45" spans="1:6" x14ac:dyDescent="0.35">
      <c r="A45" t="s">
        <v>211</v>
      </c>
      <c r="B45" t="s">
        <v>141</v>
      </c>
      <c r="C45" t="s">
        <v>209</v>
      </c>
      <c r="D45" t="s">
        <v>210</v>
      </c>
      <c r="E45" t="s">
        <v>146</v>
      </c>
      <c r="F45" t="s">
        <v>147</v>
      </c>
    </row>
    <row r="46" spans="1:6" x14ac:dyDescent="0.35">
      <c r="A46" t="s">
        <v>212</v>
      </c>
      <c r="B46" t="s">
        <v>141</v>
      </c>
      <c r="C46" t="s">
        <v>209</v>
      </c>
      <c r="D46" t="s">
        <v>210</v>
      </c>
      <c r="E46" t="s">
        <v>149</v>
      </c>
      <c r="F46" t="s">
        <v>150</v>
      </c>
    </row>
    <row r="47" spans="1:6" x14ac:dyDescent="0.35">
      <c r="A47" t="s">
        <v>213</v>
      </c>
      <c r="B47" t="s">
        <v>141</v>
      </c>
      <c r="C47" t="s">
        <v>214</v>
      </c>
      <c r="D47" t="s">
        <v>215</v>
      </c>
      <c r="E47" t="s">
        <v>143</v>
      </c>
      <c r="F47" t="s">
        <v>144</v>
      </c>
    </row>
    <row r="48" spans="1:6" x14ac:dyDescent="0.35">
      <c r="A48" t="s">
        <v>216</v>
      </c>
      <c r="B48" t="s">
        <v>141</v>
      </c>
      <c r="C48" t="s">
        <v>214</v>
      </c>
      <c r="D48" t="s">
        <v>215</v>
      </c>
      <c r="E48" t="s">
        <v>146</v>
      </c>
      <c r="F48" t="s">
        <v>147</v>
      </c>
    </row>
    <row r="49" spans="1:6" x14ac:dyDescent="0.35">
      <c r="A49" t="s">
        <v>217</v>
      </c>
      <c r="B49" t="s">
        <v>141</v>
      </c>
      <c r="C49" t="s">
        <v>214</v>
      </c>
      <c r="D49" t="s">
        <v>215</v>
      </c>
      <c r="E49" t="s">
        <v>149</v>
      </c>
      <c r="F49" t="s">
        <v>150</v>
      </c>
    </row>
    <row r="50" spans="1:6" x14ac:dyDescent="0.35">
      <c r="A50" t="s">
        <v>218</v>
      </c>
      <c r="B50" t="s">
        <v>141</v>
      </c>
      <c r="C50" t="s">
        <v>219</v>
      </c>
      <c r="D50" t="s">
        <v>220</v>
      </c>
      <c r="E50" t="s">
        <v>143</v>
      </c>
      <c r="F50" t="s">
        <v>144</v>
      </c>
    </row>
    <row r="51" spans="1:6" x14ac:dyDescent="0.35">
      <c r="A51" t="s">
        <v>221</v>
      </c>
      <c r="B51" t="s">
        <v>141</v>
      </c>
      <c r="C51" t="s">
        <v>219</v>
      </c>
      <c r="D51" t="s">
        <v>220</v>
      </c>
      <c r="E51" t="s">
        <v>146</v>
      </c>
      <c r="F51" t="s">
        <v>147</v>
      </c>
    </row>
    <row r="52" spans="1:6" x14ac:dyDescent="0.35">
      <c r="A52" t="s">
        <v>222</v>
      </c>
      <c r="B52" t="s">
        <v>141</v>
      </c>
      <c r="C52" t="s">
        <v>219</v>
      </c>
      <c r="D52" t="s">
        <v>220</v>
      </c>
      <c r="E52" t="s">
        <v>149</v>
      </c>
      <c r="F52" t="s">
        <v>150</v>
      </c>
    </row>
    <row r="53" spans="1:6" x14ac:dyDescent="0.35">
      <c r="A53" t="s">
        <v>223</v>
      </c>
      <c r="B53" t="s">
        <v>141</v>
      </c>
      <c r="C53" t="s">
        <v>224</v>
      </c>
      <c r="D53" t="s">
        <v>89</v>
      </c>
      <c r="E53" t="s">
        <v>143</v>
      </c>
      <c r="F53" t="s">
        <v>144</v>
      </c>
    </row>
    <row r="54" spans="1:6" x14ac:dyDescent="0.35">
      <c r="A54" t="s">
        <v>225</v>
      </c>
      <c r="B54" t="s">
        <v>141</v>
      </c>
      <c r="C54" t="s">
        <v>224</v>
      </c>
      <c r="D54" t="s">
        <v>89</v>
      </c>
      <c r="E54" t="s">
        <v>146</v>
      </c>
      <c r="F54" t="s">
        <v>147</v>
      </c>
    </row>
    <row r="55" spans="1:6" x14ac:dyDescent="0.35">
      <c r="A55" t="s">
        <v>226</v>
      </c>
      <c r="B55" t="s">
        <v>141</v>
      </c>
      <c r="C55" t="s">
        <v>224</v>
      </c>
      <c r="D55" t="s">
        <v>89</v>
      </c>
      <c r="E55" t="s">
        <v>149</v>
      </c>
      <c r="F55" t="s">
        <v>150</v>
      </c>
    </row>
    <row r="56" spans="1:6" x14ac:dyDescent="0.35">
      <c r="A56" t="s">
        <v>227</v>
      </c>
      <c r="B56" t="s">
        <v>141</v>
      </c>
      <c r="C56" t="s">
        <v>228</v>
      </c>
      <c r="D56" t="s">
        <v>91</v>
      </c>
      <c r="E56" t="s">
        <v>143</v>
      </c>
      <c r="F56" t="s">
        <v>144</v>
      </c>
    </row>
    <row r="57" spans="1:6" x14ac:dyDescent="0.35">
      <c r="A57" t="s">
        <v>229</v>
      </c>
      <c r="B57" t="s">
        <v>141</v>
      </c>
      <c r="C57" t="s">
        <v>228</v>
      </c>
      <c r="D57" t="s">
        <v>91</v>
      </c>
      <c r="E57" t="s">
        <v>146</v>
      </c>
      <c r="F57" t="s">
        <v>147</v>
      </c>
    </row>
    <row r="58" spans="1:6" x14ac:dyDescent="0.35">
      <c r="A58" t="s">
        <v>230</v>
      </c>
      <c r="B58" t="s">
        <v>141</v>
      </c>
      <c r="C58" t="s">
        <v>228</v>
      </c>
      <c r="D58" t="s">
        <v>91</v>
      </c>
      <c r="E58" t="s">
        <v>149</v>
      </c>
      <c r="F58" t="s">
        <v>150</v>
      </c>
    </row>
    <row r="59" spans="1:6" x14ac:dyDescent="0.35">
      <c r="A59" t="s">
        <v>231</v>
      </c>
      <c r="B59" t="s">
        <v>141</v>
      </c>
      <c r="C59" t="s">
        <v>232</v>
      </c>
      <c r="D59" t="s">
        <v>233</v>
      </c>
      <c r="E59" t="s">
        <v>143</v>
      </c>
      <c r="F59" t="s">
        <v>144</v>
      </c>
    </row>
    <row r="60" spans="1:6" x14ac:dyDescent="0.35">
      <c r="A60" t="s">
        <v>234</v>
      </c>
      <c r="B60" t="s">
        <v>141</v>
      </c>
      <c r="C60" t="s">
        <v>232</v>
      </c>
      <c r="D60" t="s">
        <v>233</v>
      </c>
      <c r="E60" t="s">
        <v>146</v>
      </c>
      <c r="F60" t="s">
        <v>147</v>
      </c>
    </row>
    <row r="61" spans="1:6" x14ac:dyDescent="0.35">
      <c r="A61" t="s">
        <v>235</v>
      </c>
      <c r="B61" t="s">
        <v>141</v>
      </c>
      <c r="C61" t="s">
        <v>232</v>
      </c>
      <c r="D61" t="s">
        <v>233</v>
      </c>
      <c r="E61" t="s">
        <v>149</v>
      </c>
      <c r="F61" t="s">
        <v>150</v>
      </c>
    </row>
    <row r="62" spans="1:6" x14ac:dyDescent="0.35">
      <c r="A62" t="s">
        <v>236</v>
      </c>
      <c r="B62" t="s">
        <v>141</v>
      </c>
      <c r="C62" t="s">
        <v>237</v>
      </c>
      <c r="D62" t="s">
        <v>238</v>
      </c>
      <c r="E62" t="s">
        <v>143</v>
      </c>
      <c r="F62" t="s">
        <v>144</v>
      </c>
    </row>
    <row r="63" spans="1:6" x14ac:dyDescent="0.35">
      <c r="A63" t="s">
        <v>239</v>
      </c>
      <c r="B63" t="s">
        <v>141</v>
      </c>
      <c r="C63" t="s">
        <v>237</v>
      </c>
      <c r="D63" t="s">
        <v>238</v>
      </c>
      <c r="E63" t="s">
        <v>146</v>
      </c>
      <c r="F63" t="s">
        <v>147</v>
      </c>
    </row>
    <row r="64" spans="1:6" x14ac:dyDescent="0.35">
      <c r="A64" t="s">
        <v>240</v>
      </c>
      <c r="B64" t="s">
        <v>141</v>
      </c>
      <c r="C64" t="s">
        <v>237</v>
      </c>
      <c r="D64" t="s">
        <v>238</v>
      </c>
      <c r="E64" t="s">
        <v>149</v>
      </c>
      <c r="F64" t="s">
        <v>150</v>
      </c>
    </row>
    <row r="65" spans="1:6" x14ac:dyDescent="0.35">
      <c r="A65" t="s">
        <v>241</v>
      </c>
      <c r="B65" t="s">
        <v>141</v>
      </c>
      <c r="C65" t="s">
        <v>242</v>
      </c>
      <c r="D65" t="s">
        <v>69</v>
      </c>
      <c r="E65" t="s">
        <v>143</v>
      </c>
      <c r="F65" t="s">
        <v>144</v>
      </c>
    </row>
    <row r="66" spans="1:6" x14ac:dyDescent="0.35">
      <c r="A66" t="s">
        <v>243</v>
      </c>
      <c r="B66" t="s">
        <v>141</v>
      </c>
      <c r="C66" t="s">
        <v>242</v>
      </c>
      <c r="D66" t="s">
        <v>69</v>
      </c>
      <c r="E66" t="s">
        <v>146</v>
      </c>
      <c r="F66" t="s">
        <v>147</v>
      </c>
    </row>
    <row r="67" spans="1:6" x14ac:dyDescent="0.35">
      <c r="A67" t="s">
        <v>244</v>
      </c>
      <c r="B67" t="s">
        <v>141</v>
      </c>
      <c r="C67" t="s">
        <v>242</v>
      </c>
      <c r="D67" t="s">
        <v>69</v>
      </c>
      <c r="E67" t="s">
        <v>149</v>
      </c>
      <c r="F67" t="s">
        <v>150</v>
      </c>
    </row>
    <row r="68" spans="1:6" x14ac:dyDescent="0.35">
      <c r="A68" t="s">
        <v>245</v>
      </c>
      <c r="B68" t="s">
        <v>141</v>
      </c>
      <c r="C68" t="s">
        <v>246</v>
      </c>
      <c r="D68" t="s">
        <v>247</v>
      </c>
      <c r="E68" t="s">
        <v>143</v>
      </c>
      <c r="F68" t="s">
        <v>144</v>
      </c>
    </row>
    <row r="69" spans="1:6" x14ac:dyDescent="0.35">
      <c r="A69" t="s">
        <v>248</v>
      </c>
      <c r="B69" t="s">
        <v>141</v>
      </c>
      <c r="C69" t="s">
        <v>246</v>
      </c>
      <c r="D69" t="s">
        <v>247</v>
      </c>
      <c r="E69" t="s">
        <v>146</v>
      </c>
      <c r="F69" t="s">
        <v>147</v>
      </c>
    </row>
    <row r="70" spans="1:6" x14ac:dyDescent="0.35">
      <c r="A70" t="s">
        <v>249</v>
      </c>
      <c r="B70" t="s">
        <v>141</v>
      </c>
      <c r="C70" t="s">
        <v>246</v>
      </c>
      <c r="D70" t="s">
        <v>247</v>
      </c>
      <c r="E70" t="s">
        <v>149</v>
      </c>
      <c r="F70" t="s">
        <v>150</v>
      </c>
    </row>
    <row r="71" spans="1:6" x14ac:dyDescent="0.35">
      <c r="A71" t="s">
        <v>250</v>
      </c>
      <c r="B71" t="s">
        <v>141</v>
      </c>
      <c r="C71" t="s">
        <v>251</v>
      </c>
      <c r="D71" t="s">
        <v>252</v>
      </c>
      <c r="E71" t="s">
        <v>143</v>
      </c>
      <c r="F71" t="s">
        <v>144</v>
      </c>
    </row>
    <row r="72" spans="1:6" x14ac:dyDescent="0.35">
      <c r="A72" t="s">
        <v>253</v>
      </c>
      <c r="B72" t="s">
        <v>141</v>
      </c>
      <c r="C72" t="s">
        <v>251</v>
      </c>
      <c r="D72" t="s">
        <v>252</v>
      </c>
      <c r="E72" t="s">
        <v>146</v>
      </c>
      <c r="F72" t="s">
        <v>147</v>
      </c>
    </row>
    <row r="73" spans="1:6" x14ac:dyDescent="0.35">
      <c r="A73" t="s">
        <v>254</v>
      </c>
      <c r="B73" t="s">
        <v>141</v>
      </c>
      <c r="C73" t="s">
        <v>251</v>
      </c>
      <c r="D73" t="s">
        <v>252</v>
      </c>
      <c r="E73" t="s">
        <v>149</v>
      </c>
      <c r="F73" t="s">
        <v>150</v>
      </c>
    </row>
    <row r="74" spans="1:6" x14ac:dyDescent="0.35">
      <c r="A74" t="s">
        <v>255</v>
      </c>
      <c r="B74" t="s">
        <v>141</v>
      </c>
      <c r="C74" t="s">
        <v>256</v>
      </c>
      <c r="D74" t="s">
        <v>257</v>
      </c>
      <c r="E74" t="s">
        <v>143</v>
      </c>
      <c r="F74" t="s">
        <v>144</v>
      </c>
    </row>
    <row r="75" spans="1:6" x14ac:dyDescent="0.35">
      <c r="A75" t="s">
        <v>258</v>
      </c>
      <c r="B75" t="s">
        <v>141</v>
      </c>
      <c r="C75" t="s">
        <v>256</v>
      </c>
      <c r="D75" t="s">
        <v>257</v>
      </c>
      <c r="E75" t="s">
        <v>146</v>
      </c>
      <c r="F75" t="s">
        <v>147</v>
      </c>
    </row>
    <row r="76" spans="1:6" x14ac:dyDescent="0.35">
      <c r="A76" t="s">
        <v>259</v>
      </c>
      <c r="B76" t="s">
        <v>141</v>
      </c>
      <c r="C76" t="s">
        <v>256</v>
      </c>
      <c r="D76" t="s">
        <v>257</v>
      </c>
      <c r="E76" t="s">
        <v>149</v>
      </c>
      <c r="F76" t="s">
        <v>150</v>
      </c>
    </row>
    <row r="77" spans="1:6" x14ac:dyDescent="0.35">
      <c r="A77" t="s">
        <v>260</v>
      </c>
      <c r="B77" t="s">
        <v>141</v>
      </c>
      <c r="C77" t="s">
        <v>261</v>
      </c>
      <c r="D77" t="s">
        <v>97</v>
      </c>
      <c r="E77" t="s">
        <v>143</v>
      </c>
      <c r="F77" t="s">
        <v>144</v>
      </c>
    </row>
    <row r="78" spans="1:6" x14ac:dyDescent="0.35">
      <c r="A78" t="s">
        <v>262</v>
      </c>
      <c r="B78" t="s">
        <v>141</v>
      </c>
      <c r="C78" t="s">
        <v>261</v>
      </c>
      <c r="D78" t="s">
        <v>97</v>
      </c>
      <c r="E78" t="s">
        <v>146</v>
      </c>
      <c r="F78" t="s">
        <v>147</v>
      </c>
    </row>
    <row r="79" spans="1:6" x14ac:dyDescent="0.35">
      <c r="A79" t="s">
        <v>263</v>
      </c>
      <c r="B79" t="s">
        <v>141</v>
      </c>
      <c r="C79" t="s">
        <v>261</v>
      </c>
      <c r="D79" t="s">
        <v>97</v>
      </c>
      <c r="E79" t="s">
        <v>149</v>
      </c>
      <c r="F79" t="s">
        <v>150</v>
      </c>
    </row>
    <row r="80" spans="1:6" x14ac:dyDescent="0.35">
      <c r="A80" t="s">
        <v>264</v>
      </c>
      <c r="B80" t="s">
        <v>141</v>
      </c>
      <c r="C80" t="s">
        <v>265</v>
      </c>
      <c r="D80" t="s">
        <v>101</v>
      </c>
      <c r="E80" t="s">
        <v>143</v>
      </c>
      <c r="F80" t="s">
        <v>144</v>
      </c>
    </row>
    <row r="81" spans="1:6" x14ac:dyDescent="0.35">
      <c r="A81" t="s">
        <v>266</v>
      </c>
      <c r="B81" t="s">
        <v>141</v>
      </c>
      <c r="C81" t="s">
        <v>265</v>
      </c>
      <c r="D81" t="s">
        <v>101</v>
      </c>
      <c r="E81" t="s">
        <v>146</v>
      </c>
      <c r="F81" t="s">
        <v>147</v>
      </c>
    </row>
    <row r="82" spans="1:6" x14ac:dyDescent="0.35">
      <c r="A82" t="s">
        <v>267</v>
      </c>
      <c r="B82" t="s">
        <v>141</v>
      </c>
      <c r="C82" t="s">
        <v>265</v>
      </c>
      <c r="D82" t="s">
        <v>101</v>
      </c>
      <c r="E82" t="s">
        <v>149</v>
      </c>
      <c r="F82" t="s">
        <v>150</v>
      </c>
    </row>
    <row r="83" spans="1:6" x14ac:dyDescent="0.35">
      <c r="A83" t="s">
        <v>268</v>
      </c>
      <c r="B83" t="s">
        <v>141</v>
      </c>
      <c r="C83" t="s">
        <v>269</v>
      </c>
      <c r="D83" t="s">
        <v>270</v>
      </c>
      <c r="E83" t="s">
        <v>143</v>
      </c>
      <c r="F83" t="s">
        <v>144</v>
      </c>
    </row>
    <row r="84" spans="1:6" x14ac:dyDescent="0.35">
      <c r="A84" t="s">
        <v>271</v>
      </c>
      <c r="B84" t="s">
        <v>141</v>
      </c>
      <c r="C84" t="s">
        <v>269</v>
      </c>
      <c r="D84" t="s">
        <v>270</v>
      </c>
      <c r="E84" t="s">
        <v>146</v>
      </c>
      <c r="F84" t="s">
        <v>147</v>
      </c>
    </row>
    <row r="85" spans="1:6" x14ac:dyDescent="0.35">
      <c r="A85" t="s">
        <v>272</v>
      </c>
      <c r="B85" t="s">
        <v>141</v>
      </c>
      <c r="C85" t="s">
        <v>269</v>
      </c>
      <c r="D85" t="s">
        <v>270</v>
      </c>
      <c r="E85" t="s">
        <v>149</v>
      </c>
      <c r="F85" t="s">
        <v>150</v>
      </c>
    </row>
    <row r="86" spans="1:6" x14ac:dyDescent="0.35">
      <c r="A86" t="s">
        <v>273</v>
      </c>
      <c r="B86" t="s">
        <v>141</v>
      </c>
      <c r="C86" t="s">
        <v>274</v>
      </c>
      <c r="D86" t="s">
        <v>275</v>
      </c>
      <c r="E86" t="s">
        <v>143</v>
      </c>
      <c r="F86" t="s">
        <v>144</v>
      </c>
    </row>
    <row r="87" spans="1:6" x14ac:dyDescent="0.35">
      <c r="A87" t="s">
        <v>276</v>
      </c>
      <c r="B87" t="s">
        <v>141</v>
      </c>
      <c r="C87" t="s">
        <v>274</v>
      </c>
      <c r="D87" t="s">
        <v>275</v>
      </c>
      <c r="E87" t="s">
        <v>146</v>
      </c>
      <c r="F87" t="s">
        <v>147</v>
      </c>
    </row>
    <row r="88" spans="1:6" x14ac:dyDescent="0.35">
      <c r="A88" t="s">
        <v>277</v>
      </c>
      <c r="B88" t="s">
        <v>141</v>
      </c>
      <c r="C88" t="s">
        <v>274</v>
      </c>
      <c r="D88" t="s">
        <v>275</v>
      </c>
      <c r="E88" t="s">
        <v>149</v>
      </c>
      <c r="F88" t="s">
        <v>150</v>
      </c>
    </row>
    <row r="89" spans="1:6" x14ac:dyDescent="0.35">
      <c r="A89" t="s">
        <v>278</v>
      </c>
      <c r="B89" t="s">
        <v>141</v>
      </c>
      <c r="C89" t="s">
        <v>279</v>
      </c>
      <c r="D89" t="s">
        <v>105</v>
      </c>
      <c r="E89" t="s">
        <v>143</v>
      </c>
      <c r="F89" t="s">
        <v>144</v>
      </c>
    </row>
    <row r="90" spans="1:6" x14ac:dyDescent="0.35">
      <c r="A90" t="s">
        <v>280</v>
      </c>
      <c r="B90" t="s">
        <v>141</v>
      </c>
      <c r="C90" t="s">
        <v>279</v>
      </c>
      <c r="D90" t="s">
        <v>105</v>
      </c>
      <c r="E90" t="s">
        <v>146</v>
      </c>
      <c r="F90" t="s">
        <v>147</v>
      </c>
    </row>
    <row r="91" spans="1:6" x14ac:dyDescent="0.35">
      <c r="A91" t="s">
        <v>281</v>
      </c>
      <c r="B91" t="s">
        <v>141</v>
      </c>
      <c r="C91" t="s">
        <v>279</v>
      </c>
      <c r="D91" t="s">
        <v>105</v>
      </c>
      <c r="E91" t="s">
        <v>149</v>
      </c>
      <c r="F91" t="s">
        <v>150</v>
      </c>
    </row>
    <row r="92" spans="1:6" x14ac:dyDescent="0.35">
      <c r="A92" t="s">
        <v>282</v>
      </c>
      <c r="B92" t="s">
        <v>141</v>
      </c>
      <c r="C92" t="s">
        <v>283</v>
      </c>
      <c r="D92" t="s">
        <v>284</v>
      </c>
      <c r="E92" t="s">
        <v>143</v>
      </c>
      <c r="F92" t="s">
        <v>144</v>
      </c>
    </row>
    <row r="93" spans="1:6" x14ac:dyDescent="0.35">
      <c r="A93" t="s">
        <v>285</v>
      </c>
      <c r="B93" t="s">
        <v>141</v>
      </c>
      <c r="C93" t="s">
        <v>283</v>
      </c>
      <c r="D93" t="s">
        <v>284</v>
      </c>
      <c r="E93" t="s">
        <v>146</v>
      </c>
      <c r="F93" t="s">
        <v>147</v>
      </c>
    </row>
    <row r="94" spans="1:6" x14ac:dyDescent="0.35">
      <c r="A94" t="s">
        <v>286</v>
      </c>
      <c r="B94" t="s">
        <v>141</v>
      </c>
      <c r="C94" t="s">
        <v>283</v>
      </c>
      <c r="D94" t="s">
        <v>284</v>
      </c>
      <c r="E94" t="s">
        <v>149</v>
      </c>
      <c r="F94" t="s">
        <v>150</v>
      </c>
    </row>
    <row r="95" spans="1:6" x14ac:dyDescent="0.35">
      <c r="A95" t="s">
        <v>287</v>
      </c>
      <c r="B95" t="s">
        <v>141</v>
      </c>
      <c r="C95" t="s">
        <v>288</v>
      </c>
      <c r="D95" t="s">
        <v>289</v>
      </c>
      <c r="E95" t="s">
        <v>143</v>
      </c>
      <c r="F95" t="s">
        <v>144</v>
      </c>
    </row>
    <row r="96" spans="1:6" x14ac:dyDescent="0.35">
      <c r="A96" t="s">
        <v>290</v>
      </c>
      <c r="B96" t="s">
        <v>141</v>
      </c>
      <c r="C96" t="s">
        <v>288</v>
      </c>
      <c r="D96" t="s">
        <v>289</v>
      </c>
      <c r="E96" t="s">
        <v>146</v>
      </c>
      <c r="F96" t="s">
        <v>147</v>
      </c>
    </row>
    <row r="97" spans="1:6" x14ac:dyDescent="0.35">
      <c r="A97" t="s">
        <v>291</v>
      </c>
      <c r="B97" t="s">
        <v>141</v>
      </c>
      <c r="C97" t="s">
        <v>288</v>
      </c>
      <c r="D97" t="s">
        <v>289</v>
      </c>
      <c r="E97" t="s">
        <v>149</v>
      </c>
      <c r="F97" t="s">
        <v>150</v>
      </c>
    </row>
    <row r="98" spans="1:6" x14ac:dyDescent="0.35">
      <c r="A98" t="s">
        <v>292</v>
      </c>
      <c r="B98" t="s">
        <v>141</v>
      </c>
      <c r="C98" t="s">
        <v>293</v>
      </c>
      <c r="D98" t="s">
        <v>107</v>
      </c>
      <c r="E98" t="s">
        <v>143</v>
      </c>
      <c r="F98" t="s">
        <v>144</v>
      </c>
    </row>
    <row r="99" spans="1:6" x14ac:dyDescent="0.35">
      <c r="A99" t="s">
        <v>294</v>
      </c>
      <c r="B99" t="s">
        <v>141</v>
      </c>
      <c r="C99" t="s">
        <v>293</v>
      </c>
      <c r="D99" t="s">
        <v>107</v>
      </c>
      <c r="E99" t="s">
        <v>146</v>
      </c>
      <c r="F99" t="s">
        <v>147</v>
      </c>
    </row>
    <row r="100" spans="1:6" x14ac:dyDescent="0.35">
      <c r="A100" t="s">
        <v>295</v>
      </c>
      <c r="B100" t="s">
        <v>141</v>
      </c>
      <c r="C100" t="s">
        <v>293</v>
      </c>
      <c r="D100" t="s">
        <v>107</v>
      </c>
      <c r="E100" t="s">
        <v>149</v>
      </c>
      <c r="F100" t="s">
        <v>150</v>
      </c>
    </row>
    <row r="101" spans="1:6" x14ac:dyDescent="0.35">
      <c r="A101" t="s">
        <v>296</v>
      </c>
      <c r="B101" t="s">
        <v>141</v>
      </c>
      <c r="C101" t="s">
        <v>297</v>
      </c>
      <c r="D101" t="s">
        <v>109</v>
      </c>
      <c r="E101" t="s">
        <v>143</v>
      </c>
      <c r="F101" t="s">
        <v>144</v>
      </c>
    </row>
    <row r="102" spans="1:6" x14ac:dyDescent="0.35">
      <c r="A102" t="s">
        <v>298</v>
      </c>
      <c r="B102" t="s">
        <v>141</v>
      </c>
      <c r="C102" t="s">
        <v>297</v>
      </c>
      <c r="D102" t="s">
        <v>109</v>
      </c>
      <c r="E102" t="s">
        <v>146</v>
      </c>
      <c r="F102" t="s">
        <v>147</v>
      </c>
    </row>
    <row r="103" spans="1:6" x14ac:dyDescent="0.35">
      <c r="A103" t="s">
        <v>299</v>
      </c>
      <c r="B103" t="s">
        <v>141</v>
      </c>
      <c r="C103" t="s">
        <v>297</v>
      </c>
      <c r="D103" t="s">
        <v>109</v>
      </c>
      <c r="E103" t="s">
        <v>149</v>
      </c>
      <c r="F103" t="s">
        <v>150</v>
      </c>
    </row>
    <row r="104" spans="1:6" x14ac:dyDescent="0.35">
      <c r="A104" t="s">
        <v>300</v>
      </c>
      <c r="B104" t="s">
        <v>141</v>
      </c>
      <c r="C104" t="s">
        <v>301</v>
      </c>
      <c r="D104" t="s">
        <v>113</v>
      </c>
      <c r="E104" t="s">
        <v>143</v>
      </c>
      <c r="F104" t="s">
        <v>144</v>
      </c>
    </row>
    <row r="105" spans="1:6" x14ac:dyDescent="0.35">
      <c r="A105" t="s">
        <v>302</v>
      </c>
      <c r="B105" t="s">
        <v>141</v>
      </c>
      <c r="C105" t="s">
        <v>301</v>
      </c>
      <c r="D105" t="s">
        <v>113</v>
      </c>
      <c r="E105" t="s">
        <v>146</v>
      </c>
      <c r="F105" t="s">
        <v>147</v>
      </c>
    </row>
    <row r="106" spans="1:6" x14ac:dyDescent="0.35">
      <c r="A106" t="s">
        <v>303</v>
      </c>
      <c r="B106" t="s">
        <v>141</v>
      </c>
      <c r="C106" t="s">
        <v>301</v>
      </c>
      <c r="D106" t="s">
        <v>113</v>
      </c>
      <c r="E106" t="s">
        <v>149</v>
      </c>
      <c r="F106" t="s">
        <v>150</v>
      </c>
    </row>
    <row r="107" spans="1:6" x14ac:dyDescent="0.35">
      <c r="A107" t="s">
        <v>304</v>
      </c>
      <c r="B107" t="s">
        <v>141</v>
      </c>
      <c r="C107" t="s">
        <v>305</v>
      </c>
      <c r="D107" t="s">
        <v>116</v>
      </c>
      <c r="E107" t="s">
        <v>143</v>
      </c>
      <c r="F107" t="s">
        <v>144</v>
      </c>
    </row>
    <row r="108" spans="1:6" x14ac:dyDescent="0.35">
      <c r="A108" t="s">
        <v>306</v>
      </c>
      <c r="B108" t="s">
        <v>141</v>
      </c>
      <c r="C108" t="s">
        <v>305</v>
      </c>
      <c r="D108" t="s">
        <v>116</v>
      </c>
      <c r="E108" t="s">
        <v>146</v>
      </c>
      <c r="F108" t="s">
        <v>147</v>
      </c>
    </row>
    <row r="109" spans="1:6" x14ac:dyDescent="0.35">
      <c r="A109" t="s">
        <v>307</v>
      </c>
      <c r="B109" t="s">
        <v>141</v>
      </c>
      <c r="C109" t="s">
        <v>305</v>
      </c>
      <c r="D109" t="s">
        <v>116</v>
      </c>
      <c r="E109" t="s">
        <v>149</v>
      </c>
      <c r="F109" t="s">
        <v>150</v>
      </c>
    </row>
    <row r="110" spans="1:6" x14ac:dyDescent="0.35">
      <c r="A110" t="s">
        <v>308</v>
      </c>
      <c r="B110" t="s">
        <v>141</v>
      </c>
      <c r="C110" t="s">
        <v>309</v>
      </c>
      <c r="D110" t="s">
        <v>119</v>
      </c>
      <c r="E110" t="s">
        <v>143</v>
      </c>
      <c r="F110" t="s">
        <v>144</v>
      </c>
    </row>
    <row r="111" spans="1:6" x14ac:dyDescent="0.35">
      <c r="A111" t="s">
        <v>310</v>
      </c>
      <c r="B111" t="s">
        <v>141</v>
      </c>
      <c r="C111" t="s">
        <v>309</v>
      </c>
      <c r="D111" t="s">
        <v>119</v>
      </c>
      <c r="E111" t="s">
        <v>146</v>
      </c>
      <c r="F111" t="s">
        <v>147</v>
      </c>
    </row>
    <row r="112" spans="1:6" x14ac:dyDescent="0.35">
      <c r="A112" t="s">
        <v>311</v>
      </c>
      <c r="B112" t="s">
        <v>141</v>
      </c>
      <c r="C112" t="s">
        <v>309</v>
      </c>
      <c r="D112" t="s">
        <v>119</v>
      </c>
      <c r="E112" t="s">
        <v>149</v>
      </c>
      <c r="F112" t="s">
        <v>150</v>
      </c>
    </row>
    <row r="113" spans="1:6" x14ac:dyDescent="0.35">
      <c r="A113" t="s">
        <v>312</v>
      </c>
      <c r="B113" t="s">
        <v>141</v>
      </c>
      <c r="C113" t="s">
        <v>313</v>
      </c>
      <c r="D113" t="s">
        <v>125</v>
      </c>
      <c r="E113" t="s">
        <v>143</v>
      </c>
      <c r="F113" t="s">
        <v>144</v>
      </c>
    </row>
    <row r="114" spans="1:6" x14ac:dyDescent="0.35">
      <c r="A114" t="s">
        <v>314</v>
      </c>
      <c r="B114" t="s">
        <v>141</v>
      </c>
      <c r="C114" t="s">
        <v>313</v>
      </c>
      <c r="D114" t="s">
        <v>125</v>
      </c>
      <c r="E114" t="s">
        <v>146</v>
      </c>
      <c r="F114" t="s">
        <v>147</v>
      </c>
    </row>
    <row r="115" spans="1:6" x14ac:dyDescent="0.35">
      <c r="A115" t="s">
        <v>315</v>
      </c>
      <c r="B115" t="s">
        <v>141</v>
      </c>
      <c r="C115" t="s">
        <v>313</v>
      </c>
      <c r="D115" t="s">
        <v>125</v>
      </c>
      <c r="E115" t="s">
        <v>149</v>
      </c>
      <c r="F115" t="s">
        <v>150</v>
      </c>
    </row>
    <row r="116" spans="1:6" x14ac:dyDescent="0.35">
      <c r="A116" t="s">
        <v>316</v>
      </c>
      <c r="B116" t="s">
        <v>141</v>
      </c>
      <c r="C116" t="s">
        <v>317</v>
      </c>
      <c r="D116" t="s">
        <v>318</v>
      </c>
      <c r="E116" t="s">
        <v>143</v>
      </c>
      <c r="F116" t="s">
        <v>144</v>
      </c>
    </row>
    <row r="117" spans="1:6" x14ac:dyDescent="0.35">
      <c r="A117" t="s">
        <v>319</v>
      </c>
      <c r="B117" t="s">
        <v>141</v>
      </c>
      <c r="C117" t="s">
        <v>317</v>
      </c>
      <c r="D117" t="s">
        <v>318</v>
      </c>
      <c r="E117" t="s">
        <v>146</v>
      </c>
      <c r="F117" t="s">
        <v>147</v>
      </c>
    </row>
    <row r="118" spans="1:6" x14ac:dyDescent="0.35">
      <c r="A118" t="s">
        <v>320</v>
      </c>
      <c r="B118" t="s">
        <v>141</v>
      </c>
      <c r="C118" t="s">
        <v>317</v>
      </c>
      <c r="D118" t="s">
        <v>318</v>
      </c>
      <c r="E118" t="s">
        <v>149</v>
      </c>
      <c r="F118" t="s">
        <v>150</v>
      </c>
    </row>
    <row r="119" spans="1:6" x14ac:dyDescent="0.35">
      <c r="A119" t="s">
        <v>321</v>
      </c>
      <c r="B119" t="s">
        <v>141</v>
      </c>
      <c r="C119" t="s">
        <v>322</v>
      </c>
      <c r="D119" t="s">
        <v>57</v>
      </c>
      <c r="E119" t="s">
        <v>143</v>
      </c>
      <c r="F119" t="s">
        <v>144</v>
      </c>
    </row>
    <row r="120" spans="1:6" x14ac:dyDescent="0.35">
      <c r="A120" t="s">
        <v>323</v>
      </c>
      <c r="B120" t="s">
        <v>141</v>
      </c>
      <c r="C120" t="s">
        <v>322</v>
      </c>
      <c r="D120" t="s">
        <v>57</v>
      </c>
      <c r="E120" t="s">
        <v>146</v>
      </c>
      <c r="F120" t="s">
        <v>147</v>
      </c>
    </row>
    <row r="121" spans="1:6" x14ac:dyDescent="0.35">
      <c r="A121" t="s">
        <v>324</v>
      </c>
      <c r="B121" t="s">
        <v>141</v>
      </c>
      <c r="C121" t="s">
        <v>322</v>
      </c>
      <c r="D121" t="s">
        <v>57</v>
      </c>
      <c r="E121" t="s">
        <v>149</v>
      </c>
      <c r="F121" t="s">
        <v>150</v>
      </c>
    </row>
    <row r="122" spans="1:6" x14ac:dyDescent="0.35">
      <c r="A122" t="s">
        <v>325</v>
      </c>
      <c r="B122" t="s">
        <v>141</v>
      </c>
      <c r="C122" t="s">
        <v>326</v>
      </c>
      <c r="D122" t="s">
        <v>126</v>
      </c>
      <c r="E122" t="s">
        <v>143</v>
      </c>
      <c r="F122" t="s">
        <v>144</v>
      </c>
    </row>
    <row r="123" spans="1:6" x14ac:dyDescent="0.35">
      <c r="A123" t="s">
        <v>327</v>
      </c>
      <c r="B123" t="s">
        <v>141</v>
      </c>
      <c r="C123" t="s">
        <v>326</v>
      </c>
      <c r="D123" t="s">
        <v>126</v>
      </c>
      <c r="E123" t="s">
        <v>146</v>
      </c>
      <c r="F123" t="s">
        <v>147</v>
      </c>
    </row>
    <row r="124" spans="1:6" x14ac:dyDescent="0.35">
      <c r="A124" t="s">
        <v>328</v>
      </c>
      <c r="B124" t="s">
        <v>141</v>
      </c>
      <c r="C124" t="s">
        <v>326</v>
      </c>
      <c r="D124" t="s">
        <v>126</v>
      </c>
      <c r="E124" t="s">
        <v>149</v>
      </c>
      <c r="F124" t="s">
        <v>150</v>
      </c>
    </row>
    <row r="125" spans="1:6" x14ac:dyDescent="0.35">
      <c r="A125" t="s">
        <v>329</v>
      </c>
      <c r="B125" t="s">
        <v>141</v>
      </c>
      <c r="C125" t="s">
        <v>330</v>
      </c>
      <c r="D125" t="s">
        <v>129</v>
      </c>
      <c r="E125" t="s">
        <v>143</v>
      </c>
      <c r="F125" t="s">
        <v>144</v>
      </c>
    </row>
    <row r="126" spans="1:6" x14ac:dyDescent="0.35">
      <c r="A126" t="s">
        <v>331</v>
      </c>
      <c r="B126" t="s">
        <v>141</v>
      </c>
      <c r="C126" t="s">
        <v>330</v>
      </c>
      <c r="D126" t="s">
        <v>129</v>
      </c>
      <c r="E126" t="s">
        <v>146</v>
      </c>
      <c r="F126" t="s">
        <v>147</v>
      </c>
    </row>
    <row r="127" spans="1:6" x14ac:dyDescent="0.35">
      <c r="A127" t="s">
        <v>332</v>
      </c>
      <c r="B127" t="s">
        <v>141</v>
      </c>
      <c r="C127" t="s">
        <v>330</v>
      </c>
      <c r="D127" t="s">
        <v>129</v>
      </c>
      <c r="E127" t="s">
        <v>149</v>
      </c>
      <c r="F127" t="s">
        <v>150</v>
      </c>
    </row>
    <row r="128" spans="1:6" x14ac:dyDescent="0.35">
      <c r="A128" t="s">
        <v>333</v>
      </c>
      <c r="B128" t="s">
        <v>141</v>
      </c>
      <c r="C128" t="s">
        <v>334</v>
      </c>
      <c r="D128" t="s">
        <v>335</v>
      </c>
      <c r="E128" t="s">
        <v>143</v>
      </c>
      <c r="F128" t="s">
        <v>144</v>
      </c>
    </row>
    <row r="129" spans="1:6" x14ac:dyDescent="0.35">
      <c r="A129" t="s">
        <v>336</v>
      </c>
      <c r="B129" t="s">
        <v>141</v>
      </c>
      <c r="C129" t="s">
        <v>334</v>
      </c>
      <c r="D129" t="s">
        <v>335</v>
      </c>
      <c r="E129" t="s">
        <v>146</v>
      </c>
      <c r="F129" t="s">
        <v>147</v>
      </c>
    </row>
    <row r="130" spans="1:6" x14ac:dyDescent="0.35">
      <c r="A130" t="s">
        <v>337</v>
      </c>
      <c r="B130" t="s">
        <v>141</v>
      </c>
      <c r="C130" t="s">
        <v>334</v>
      </c>
      <c r="D130" t="s">
        <v>335</v>
      </c>
      <c r="E130" t="s">
        <v>149</v>
      </c>
      <c r="F130" t="s">
        <v>150</v>
      </c>
    </row>
    <row r="131" spans="1:6" x14ac:dyDescent="0.35">
      <c r="A131" t="s">
        <v>338</v>
      </c>
      <c r="B131" t="s">
        <v>141</v>
      </c>
      <c r="C131" t="s">
        <v>339</v>
      </c>
      <c r="D131" t="s">
        <v>65</v>
      </c>
      <c r="E131" t="s">
        <v>143</v>
      </c>
      <c r="F131" t="s">
        <v>144</v>
      </c>
    </row>
    <row r="132" spans="1:6" x14ac:dyDescent="0.35">
      <c r="A132" t="s">
        <v>340</v>
      </c>
      <c r="B132" t="s">
        <v>141</v>
      </c>
      <c r="C132" t="s">
        <v>339</v>
      </c>
      <c r="D132" t="s">
        <v>65</v>
      </c>
      <c r="E132" t="s">
        <v>146</v>
      </c>
      <c r="F132" t="s">
        <v>147</v>
      </c>
    </row>
    <row r="133" spans="1:6" x14ac:dyDescent="0.35">
      <c r="A133" t="s">
        <v>341</v>
      </c>
      <c r="B133" t="s">
        <v>141</v>
      </c>
      <c r="C133" t="s">
        <v>339</v>
      </c>
      <c r="D133" t="s">
        <v>65</v>
      </c>
      <c r="E133" t="s">
        <v>149</v>
      </c>
      <c r="F133" t="s">
        <v>150</v>
      </c>
    </row>
    <row r="134" spans="1:6" x14ac:dyDescent="0.35">
      <c r="A134" t="s">
        <v>342</v>
      </c>
      <c r="B134" t="s">
        <v>141</v>
      </c>
      <c r="C134" t="s">
        <v>343</v>
      </c>
      <c r="D134" t="s">
        <v>132</v>
      </c>
      <c r="E134" t="s">
        <v>143</v>
      </c>
      <c r="F134" t="s">
        <v>144</v>
      </c>
    </row>
    <row r="135" spans="1:6" x14ac:dyDescent="0.35">
      <c r="A135" t="s">
        <v>344</v>
      </c>
      <c r="B135" t="s">
        <v>141</v>
      </c>
      <c r="C135" t="s">
        <v>343</v>
      </c>
      <c r="D135" t="s">
        <v>132</v>
      </c>
      <c r="E135" t="s">
        <v>146</v>
      </c>
      <c r="F135" t="s">
        <v>147</v>
      </c>
    </row>
    <row r="136" spans="1:6" x14ac:dyDescent="0.35">
      <c r="A136" t="s">
        <v>345</v>
      </c>
      <c r="B136" t="s">
        <v>141</v>
      </c>
      <c r="C136" t="s">
        <v>343</v>
      </c>
      <c r="D136" t="s">
        <v>132</v>
      </c>
      <c r="E136" t="s">
        <v>149</v>
      </c>
      <c r="F136" t="s">
        <v>150</v>
      </c>
    </row>
    <row r="137" spans="1:6" x14ac:dyDescent="0.35">
      <c r="A137" t="s">
        <v>346</v>
      </c>
      <c r="B137" t="s">
        <v>141</v>
      </c>
      <c r="C137" t="s">
        <v>347</v>
      </c>
      <c r="D137" t="s">
        <v>348</v>
      </c>
      <c r="E137" t="s">
        <v>143</v>
      </c>
      <c r="F137" t="s">
        <v>144</v>
      </c>
    </row>
    <row r="138" spans="1:6" x14ac:dyDescent="0.35">
      <c r="A138" t="s">
        <v>349</v>
      </c>
      <c r="B138" t="s">
        <v>141</v>
      </c>
      <c r="C138" t="s">
        <v>347</v>
      </c>
      <c r="D138" t="s">
        <v>348</v>
      </c>
      <c r="E138" t="s">
        <v>146</v>
      </c>
      <c r="F138" t="s">
        <v>147</v>
      </c>
    </row>
    <row r="139" spans="1:6" x14ac:dyDescent="0.35">
      <c r="A139" t="s">
        <v>350</v>
      </c>
      <c r="B139" t="s">
        <v>141</v>
      </c>
      <c r="C139" t="s">
        <v>347</v>
      </c>
      <c r="D139" t="s">
        <v>348</v>
      </c>
      <c r="E139" t="s">
        <v>149</v>
      </c>
      <c r="F139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crop_naming</vt:lpstr>
      <vt:lpstr>spam_data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Cristóbal Loyola</cp:lastModifiedBy>
  <dcterms:created xsi:type="dcterms:W3CDTF">2025-11-11T22:54:15Z</dcterms:created>
  <dcterms:modified xsi:type="dcterms:W3CDTF">2025-11-25T21:53:54Z</dcterms:modified>
</cp:coreProperties>
</file>